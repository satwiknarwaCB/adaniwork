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wi\Downloads\"/>
    </mc:Choice>
  </mc:AlternateContent>
  <xr:revisionPtr revIDLastSave="0" documentId="8_{E781855A-FBDE-47D1-BC42-130787A7E4E3}" xr6:coauthVersionLast="47" xr6:coauthVersionMax="47" xr10:uidLastSave="{00000000-0000-0000-0000-000000000000}"/>
  <bookViews>
    <workbookView xWindow="-108" yWindow="-108" windowWidth="23256" windowHeight="13176" xr2:uid="{F9747DB4-A03C-469D-82D3-DF1EC34F1FDF}"/>
  </bookViews>
  <sheets>
    <sheet name="KH Solar Actu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0" i="1" l="1"/>
  <c r="T50" i="1"/>
  <c r="T46" i="1"/>
  <c r="AL38" i="1"/>
  <c r="AK38" i="1"/>
  <c r="AD38" i="1"/>
  <c r="AC38" i="1"/>
  <c r="AB38" i="1"/>
  <c r="Z38" i="1"/>
  <c r="Y38" i="1"/>
  <c r="X38" i="1"/>
  <c r="W38" i="1"/>
  <c r="V38" i="1"/>
  <c r="U38" i="1"/>
  <c r="T38" i="1"/>
  <c r="S38" i="1"/>
  <c r="R38" i="1"/>
  <c r="Q38" i="1"/>
  <c r="P38" i="1"/>
  <c r="O38" i="1"/>
  <c r="K38" i="1"/>
  <c r="I38" i="1"/>
  <c r="L37" i="1"/>
  <c r="Z54" i="1" s="1"/>
  <c r="K37" i="1"/>
  <c r="D37" i="1"/>
  <c r="C37" i="1"/>
  <c r="B37" i="1"/>
  <c r="K36" i="1"/>
  <c r="AL34" i="1"/>
  <c r="AD34" i="1"/>
  <c r="AC34" i="1"/>
  <c r="AB34" i="1"/>
  <c r="Z34" i="1"/>
  <c r="Y34" i="1"/>
  <c r="X34" i="1"/>
  <c r="W34" i="1"/>
  <c r="V34" i="1"/>
  <c r="U34" i="1"/>
  <c r="T34" i="1"/>
  <c r="S34" i="1"/>
  <c r="R34" i="1"/>
  <c r="Q34" i="1"/>
  <c r="P34" i="1"/>
  <c r="O34" i="1"/>
  <c r="I34" i="1"/>
  <c r="K33" i="1"/>
  <c r="K32" i="1"/>
  <c r="K31" i="1"/>
  <c r="K34" i="1" s="1"/>
  <c r="AK29" i="1"/>
  <c r="AK40" i="1" s="1"/>
  <c r="AC29" i="1"/>
  <c r="AC40" i="1" s="1"/>
  <c r="AB29" i="1"/>
  <c r="AB40" i="1" s="1"/>
  <c r="X29" i="1"/>
  <c r="X40" i="1" s="1"/>
  <c r="W29" i="1"/>
  <c r="W40" i="1" s="1"/>
  <c r="V29" i="1"/>
  <c r="V40" i="1" s="1"/>
  <c r="P29" i="1"/>
  <c r="P40" i="1" s="1"/>
  <c r="O29" i="1"/>
  <c r="O40" i="1" s="1"/>
  <c r="K28" i="1"/>
  <c r="K27" i="1"/>
  <c r="K26" i="1"/>
  <c r="K25" i="1"/>
  <c r="K24" i="1"/>
  <c r="K23" i="1"/>
  <c r="K22" i="1"/>
  <c r="K21" i="1"/>
  <c r="K20" i="1"/>
  <c r="K19" i="1"/>
  <c r="K18" i="1"/>
  <c r="K17" i="1"/>
  <c r="AD16" i="1"/>
  <c r="AD29" i="1" s="1"/>
  <c r="AD40" i="1" s="1"/>
  <c r="AA16" i="1"/>
  <c r="Z16" i="1"/>
  <c r="Z52" i="1" s="1"/>
  <c r="Y16" i="1"/>
  <c r="Y29" i="1" s="1"/>
  <c r="Y40" i="1" s="1"/>
  <c r="X16" i="1"/>
  <c r="W16" i="1"/>
  <c r="W52" i="1" s="1"/>
  <c r="V16" i="1"/>
  <c r="V52" i="1" s="1"/>
  <c r="U16" i="1"/>
  <c r="U29" i="1" s="1"/>
  <c r="U40" i="1" s="1"/>
  <c r="T16" i="1"/>
  <c r="T29" i="1" s="1"/>
  <c r="T40" i="1" s="1"/>
  <c r="S16" i="1"/>
  <c r="S52" i="1" s="1"/>
  <c r="R16" i="1"/>
  <c r="R52" i="1" s="1"/>
  <c r="Q16" i="1"/>
  <c r="Q29" i="1" s="1"/>
  <c r="Q40" i="1" s="1"/>
  <c r="P16" i="1"/>
  <c r="O16" i="1"/>
  <c r="O52" i="1" s="1"/>
  <c r="K16" i="1"/>
  <c r="I16" i="1"/>
  <c r="I29" i="1" s="1"/>
  <c r="I40" i="1" s="1"/>
  <c r="K15" i="1"/>
  <c r="K14" i="1"/>
  <c r="K13" i="1"/>
  <c r="K12" i="1"/>
  <c r="AL11" i="1"/>
  <c r="K11" i="1"/>
  <c r="K10" i="1"/>
  <c r="AL9" i="1"/>
  <c r="K9" i="1"/>
  <c r="AL8" i="1"/>
  <c r="AL29" i="1" s="1"/>
  <c r="AL40" i="1" s="1"/>
  <c r="K8" i="1"/>
  <c r="K7" i="1"/>
  <c r="K6" i="1"/>
  <c r="K5" i="1"/>
  <c r="K29" i="1" l="1"/>
  <c r="K40" i="1"/>
  <c r="R29" i="1"/>
  <c r="R40" i="1" s="1"/>
  <c r="Z29" i="1"/>
  <c r="Z40" i="1" s="1"/>
  <c r="P46" i="1"/>
  <c r="X48" i="1"/>
  <c r="T49" i="1"/>
  <c r="T51" i="1"/>
  <c r="P54" i="1"/>
  <c r="S29" i="1"/>
  <c r="S40" i="1" s="1"/>
  <c r="Y46" i="1"/>
  <c r="Q48" i="1"/>
  <c r="U49" i="1"/>
  <c r="Y50" i="1"/>
  <c r="Q52" i="1"/>
  <c r="U53" i="1"/>
  <c r="S46" i="1"/>
  <c r="O47" i="1"/>
  <c r="W47" i="1"/>
  <c r="S48" i="1"/>
  <c r="O49" i="1"/>
  <c r="W49" i="1"/>
  <c r="S50" i="1"/>
  <c r="O51" i="1"/>
  <c r="W51" i="1"/>
  <c r="O53" i="1"/>
  <c r="W53" i="1"/>
  <c r="S54" i="1"/>
  <c r="T48" i="1"/>
  <c r="X53" i="1"/>
  <c r="T54" i="1"/>
  <c r="U54" i="1"/>
  <c r="P47" i="1"/>
  <c r="P49" i="1"/>
  <c r="P51" i="1"/>
  <c r="P53" i="1"/>
  <c r="Q47" i="1"/>
  <c r="U48" i="1"/>
  <c r="Y49" i="1"/>
  <c r="Q51" i="1"/>
  <c r="U52" i="1"/>
  <c r="Q53" i="1"/>
  <c r="V46" i="1"/>
  <c r="R47" i="1"/>
  <c r="Z47" i="1"/>
  <c r="V48" i="1"/>
  <c r="R49" i="1"/>
  <c r="Z49" i="1"/>
  <c r="V50" i="1"/>
  <c r="R51" i="1"/>
  <c r="Z51" i="1"/>
  <c r="R53" i="1"/>
  <c r="Z53" i="1"/>
  <c r="V54" i="1"/>
  <c r="X47" i="1"/>
  <c r="X49" i="1"/>
  <c r="X51" i="1"/>
  <c r="T52" i="1"/>
  <c r="U46" i="1"/>
  <c r="Y47" i="1"/>
  <c r="Q49" i="1"/>
  <c r="U50" i="1"/>
  <c r="Y51" i="1"/>
  <c r="Y53" i="1"/>
  <c r="O46" i="1"/>
  <c r="W46" i="1"/>
  <c r="S47" i="1"/>
  <c r="O48" i="1"/>
  <c r="W48" i="1"/>
  <c r="S49" i="1"/>
  <c r="O50" i="1"/>
  <c r="W50" i="1"/>
  <c r="S51" i="1"/>
  <c r="S53" i="1"/>
  <c r="O54" i="1"/>
  <c r="W54" i="1"/>
  <c r="T47" i="1"/>
  <c r="X52" i="1"/>
  <c r="X54" i="1"/>
  <c r="Y54" i="1"/>
  <c r="X46" i="1"/>
  <c r="P48" i="1"/>
  <c r="P50" i="1"/>
  <c r="P52" i="1"/>
  <c r="T53" i="1"/>
  <c r="Q46" i="1"/>
  <c r="U47" i="1"/>
  <c r="Y48" i="1"/>
  <c r="Q50" i="1"/>
  <c r="U51" i="1"/>
  <c r="Y52" i="1"/>
  <c r="Q54" i="1"/>
  <c r="R46" i="1"/>
  <c r="Z46" i="1"/>
  <c r="V47" i="1"/>
  <c r="R48" i="1"/>
  <c r="Z48" i="1"/>
  <c r="V49" i="1"/>
  <c r="R50" i="1"/>
  <c r="Z50" i="1"/>
  <c r="V51" i="1"/>
  <c r="V53" i="1"/>
  <c r="R54" i="1"/>
</calcChain>
</file>

<file path=xl/sharedStrings.xml><?xml version="1.0" encoding="utf-8"?>
<sst xmlns="http://schemas.openxmlformats.org/spreadsheetml/2006/main" count="373" uniqueCount="133">
  <si>
    <t>Phase-III: Khavda Solar Projects Monthly COD Actuals &amp; Forecast (MWac)</t>
  </si>
  <si>
    <t>TR Done in Nov-25 but COD in Dec-25</t>
  </si>
  <si>
    <t>In addition to COD</t>
  </si>
  <si>
    <t>Physical Progress Status till 27/28-Dec</t>
  </si>
  <si>
    <t>Manpower as per DPR</t>
  </si>
  <si>
    <t>Priority</t>
  </si>
  <si>
    <t>Project</t>
  </si>
  <si>
    <t>SPV</t>
  </si>
  <si>
    <t>Plot No</t>
  </si>
  <si>
    <t>Category</t>
  </si>
  <si>
    <t>MMS Type</t>
  </si>
  <si>
    <t>Module Source</t>
  </si>
  <si>
    <t>Capacity
(MWac)</t>
  </si>
  <si>
    <t>OL</t>
  </si>
  <si>
    <t>Capacity (MWdc)</t>
  </si>
  <si>
    <t>PSS No.</t>
  </si>
  <si>
    <t>PSS
Charging Date</t>
  </si>
  <si>
    <t>SCOD</t>
  </si>
  <si>
    <t>Charging</t>
  </si>
  <si>
    <t xml:space="preserve">Trail Run </t>
  </si>
  <si>
    <t>Trail Run Certificate</t>
  </si>
  <si>
    <t>Piling</t>
  </si>
  <si>
    <t>MMS 
(Purlin)</t>
  </si>
  <si>
    <t>Module</t>
  </si>
  <si>
    <t>IDT</t>
  </si>
  <si>
    <t>Avaliable as of 27/28-Dec</t>
  </si>
  <si>
    <t>Required</t>
  </si>
  <si>
    <t>A. Khavda Solar Projects</t>
  </si>
  <si>
    <t>AGEL Merchant</t>
  </si>
  <si>
    <t>ARE56L</t>
  </si>
  <si>
    <t>S-08</t>
  </si>
  <si>
    <t>Merchant</t>
  </si>
  <si>
    <t>HSAT</t>
  </si>
  <si>
    <t>ALMM</t>
  </si>
  <si>
    <t>PSS-09</t>
  </si>
  <si>
    <t>Completed</t>
  </si>
  <si>
    <t>A-02</t>
  </si>
  <si>
    <t>PSS-04</t>
  </si>
  <si>
    <t>MLP AP New</t>
  </si>
  <si>
    <t>ARE57L</t>
  </si>
  <si>
    <t>A-11</t>
  </si>
  <si>
    <t>PPA</t>
  </si>
  <si>
    <t>China</t>
  </si>
  <si>
    <t>PSS-13</t>
  </si>
  <si>
    <t>15-Jun-29 
(LTA +15D)</t>
  </si>
  <si>
    <t>A-12</t>
  </si>
  <si>
    <t>SECI H-3</t>
  </si>
  <si>
    <t>AHEJ5L</t>
  </si>
  <si>
    <t>A-13</t>
  </si>
  <si>
    <t>FT</t>
  </si>
  <si>
    <t>PSS-05</t>
  </si>
  <si>
    <t>31-Dec-25
(LTA)</t>
  </si>
  <si>
    <t>ARE45L</t>
  </si>
  <si>
    <t>A-14</t>
  </si>
  <si>
    <t>MLP T3 AP</t>
  </si>
  <si>
    <t>S-06</t>
  </si>
  <si>
    <t>PSS-10</t>
  </si>
  <si>
    <t>P-01</t>
  </si>
  <si>
    <t>Google Hybrid</t>
  </si>
  <si>
    <t>ARE3L</t>
  </si>
  <si>
    <t>A-6</t>
  </si>
  <si>
    <t>Merchant-Google</t>
  </si>
  <si>
    <t>PSS-08</t>
  </si>
  <si>
    <t>-</t>
  </si>
  <si>
    <t>P-02</t>
  </si>
  <si>
    <t>ASEJ6PL</t>
  </si>
  <si>
    <t>Merchant-Hybrid</t>
  </si>
  <si>
    <t>P-03</t>
  </si>
  <si>
    <t>AGEL Hybrid Merchant</t>
  </si>
  <si>
    <t>AGE25BL</t>
  </si>
  <si>
    <t>S-8</t>
  </si>
  <si>
    <t>P-04</t>
  </si>
  <si>
    <t>A-15a</t>
  </si>
  <si>
    <t>C:92%; E:83%</t>
  </si>
  <si>
    <t>P-05</t>
  </si>
  <si>
    <t>AGE26BL</t>
  </si>
  <si>
    <t>S-5</t>
  </si>
  <si>
    <t>C:100%; E:83%</t>
  </si>
  <si>
    <t>P-05a</t>
  </si>
  <si>
    <t>P-05b</t>
  </si>
  <si>
    <t>P-06</t>
  </si>
  <si>
    <t>AGE24L</t>
  </si>
  <si>
    <t>P-07</t>
  </si>
  <si>
    <t>C:50%; E:50%</t>
  </si>
  <si>
    <t>P-08</t>
  </si>
  <si>
    <t>Cement - Hybrid</t>
  </si>
  <si>
    <t>ACL</t>
  </si>
  <si>
    <t>A-1</t>
  </si>
  <si>
    <t>Group</t>
  </si>
  <si>
    <t>P-09</t>
  </si>
  <si>
    <t>AGE25CL</t>
  </si>
  <si>
    <t>P-10</t>
  </si>
  <si>
    <t>MLP T1 J&amp;K</t>
  </si>
  <si>
    <t>AGE26AL</t>
  </si>
  <si>
    <t>A-16a</t>
  </si>
  <si>
    <t>SEA</t>
  </si>
  <si>
    <t>PSS-06</t>
  </si>
  <si>
    <t>P-11</t>
  </si>
  <si>
    <t>MLP T1 CG</t>
  </si>
  <si>
    <t>A-16b</t>
  </si>
  <si>
    <t>C:63%; E:63%</t>
  </si>
  <si>
    <t>P-12</t>
  </si>
  <si>
    <t>MLP T1 TN</t>
  </si>
  <si>
    <t>A-16c</t>
  </si>
  <si>
    <t>C:0%; E:0%</t>
  </si>
  <si>
    <t>P-13</t>
  </si>
  <si>
    <t>MLP T1 OR</t>
  </si>
  <si>
    <t>A-16d</t>
  </si>
  <si>
    <t>C:15%; E:11%</t>
  </si>
  <si>
    <t>P-14</t>
  </si>
  <si>
    <t>MLP T1 TR</t>
  </si>
  <si>
    <t>A10a</t>
  </si>
  <si>
    <t>PSS-03</t>
  </si>
  <si>
    <t>08-Dec-25 
(LTA -23D)</t>
  </si>
  <si>
    <t>P-15</t>
  </si>
  <si>
    <t>C:59%; E:47%</t>
  </si>
  <si>
    <t>Subtotal (A)</t>
  </si>
  <si>
    <t>D1. Khavda Solar (Copper + Merchant - 50 MW)</t>
  </si>
  <si>
    <t>P-18a</t>
  </si>
  <si>
    <t>KCTL</t>
  </si>
  <si>
    <t>P-18b</t>
  </si>
  <si>
    <t>MCIPL</t>
  </si>
  <si>
    <t>P-19</t>
  </si>
  <si>
    <t>ASEJo6PL</t>
  </si>
  <si>
    <t>Subtotal (D1)</t>
  </si>
  <si>
    <t>D2. Khavda Solar (Additional from Internal - 650 MW)</t>
  </si>
  <si>
    <t>P-16</t>
  </si>
  <si>
    <t>S-4</t>
  </si>
  <si>
    <t>PSS-11</t>
  </si>
  <si>
    <t>P-17</t>
  </si>
  <si>
    <t>C:60%; E:7%</t>
  </si>
  <si>
    <t>Subtotal (D2)</t>
  </si>
  <si>
    <t>Overall Total (A + D1 + 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</si>
</sst>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color theme="1"/>
      <name val="Calibri"/>
      <family val="2"/>
      <scheme val="minor"/>
    </font>
    <font>
      <b/>
      <sz val="14"/>
      <name val="Adani Regular"/>
    </font>
    <font>
      <b/>
      <sz val="10"/>
      <color theme="1"/>
      <name val="Adani Regular"/>
    </font>
    <font>
      <b/>
      <sz val="12"/>
      <color rgb="FFFF0000"/>
      <name val="Adani Regular"/>
    </font>
    <font>
      <b/>
      <sz val="10"/>
      <name val="Adani Regular"/>
    </font>
    <font>
      <b/>
      <sz val="11"/>
      <color theme="1"/>
      <name val="Adani Regular"/>
    </font>
    <font>
      <b/>
      <sz val="10"/>
      <color theme="0"/>
      <name val="Adani Regular"/>
    </font>
    <font>
      <b/>
      <sz val="10"/>
      <color theme="0"/>
      <name val="Adani Regular"/>
      <family val="2"/>
    </font>
    <font>
      <sz val="10"/>
      <color rgb="FF00B050"/>
      <name val="Adani Regular"/>
      <family val="2"/>
    </font>
    <font>
      <b/>
      <sz val="10"/>
      <color rgb="FF00B050"/>
      <name val="Adani Regular"/>
    </font>
    <font>
      <sz val="10"/>
      <name val="Adani Regular"/>
      <family val="2"/>
    </font>
    <font>
      <sz val="10"/>
      <color rgb="FFFF0000"/>
      <name val="Adani Regular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15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" fontId="6" fillId="3" borderId="4" xfId="0" applyNumberFormat="1" applyFont="1" applyFill="1" applyBorder="1" applyAlignment="1">
      <alignment horizontal="center" vertical="center" wrapText="1"/>
    </xf>
    <xf numFmtId="17" fontId="7" fillId="3" borderId="4" xfId="0" applyNumberFormat="1" applyFont="1" applyFill="1" applyBorder="1" applyAlignment="1">
      <alignment horizontal="center" vertical="center" wrapText="1"/>
    </xf>
    <xf numFmtId="17" fontId="6" fillId="3" borderId="5" xfId="0" applyNumberFormat="1" applyFont="1" applyFill="1" applyBorder="1" applyAlignment="1">
      <alignment horizontal="center" vertical="center" wrapText="1"/>
    </xf>
    <xf numFmtId="17" fontId="6" fillId="3" borderId="6" xfId="0" applyNumberFormat="1" applyFont="1" applyFill="1" applyBorder="1" applyAlignment="1">
      <alignment horizontal="center" vertical="center" wrapText="1"/>
    </xf>
    <xf numFmtId="17" fontId="6" fillId="3" borderId="7" xfId="0" applyNumberFormat="1" applyFont="1" applyFill="1" applyBorder="1" applyAlignment="1">
      <alignment horizontal="center" vertical="center" wrapText="1"/>
    </xf>
    <xf numFmtId="17" fontId="6" fillId="3" borderId="8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7" fontId="6" fillId="3" borderId="0" xfId="0" applyNumberFormat="1" applyFont="1" applyFill="1" applyAlignment="1">
      <alignment horizontal="center" vertical="center" wrapText="1"/>
    </xf>
    <xf numFmtId="17" fontId="6" fillId="3" borderId="9" xfId="0" applyNumberFormat="1" applyFont="1" applyFill="1" applyBorder="1" applyAlignment="1">
      <alignment horizontal="center" vertical="center" wrapText="1"/>
    </xf>
    <xf numFmtId="17" fontId="6" fillId="3" borderId="10" xfId="0" applyNumberFormat="1" applyFont="1" applyFill="1" applyBorder="1" applyAlignment="1">
      <alignment horizontal="center" vertical="center" wrapText="1"/>
    </xf>
    <xf numFmtId="3" fontId="6" fillId="3" borderId="11" xfId="0" applyNumberFormat="1" applyFont="1" applyFill="1" applyBorder="1" applyAlignment="1">
      <alignment horizontal="center" vertical="center" wrapText="1"/>
    </xf>
    <xf numFmtId="17" fontId="6" fillId="3" borderId="11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2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5" fontId="8" fillId="0" borderId="13" xfId="0" applyNumberFormat="1" applyFont="1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vertical="center"/>
    </xf>
    <xf numFmtId="2" fontId="0" fillId="4" borderId="13" xfId="0" applyNumberForma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5" fontId="8" fillId="4" borderId="13" xfId="0" applyNumberFormat="1" applyFont="1" applyFill="1" applyBorder="1" applyAlignment="1">
      <alignment horizontal="center" vertical="center"/>
    </xf>
    <xf numFmtId="15" fontId="0" fillId="4" borderId="13" xfId="0" applyNumberForma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20" xfId="0" applyFill="1" applyBorder="1" applyAlignment="1">
      <alignment horizontal="center" vertical="center"/>
    </xf>
    <xf numFmtId="15" fontId="0" fillId="0" borderId="21" xfId="0" quotePrefix="1" applyNumberForma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5" fontId="0" fillId="4" borderId="21" xfId="0" quotePrefix="1" applyNumberFormat="1" applyFill="1" applyBorder="1" applyAlignment="1">
      <alignment horizontal="center" vertical="center" wrapText="1"/>
    </xf>
    <xf numFmtId="9" fontId="8" fillId="4" borderId="12" xfId="0" applyNumberFormat="1" applyFont="1" applyFill="1" applyBorder="1" applyAlignment="1">
      <alignment horizontal="center" vertical="center"/>
    </xf>
    <xf numFmtId="9" fontId="8" fillId="4" borderId="13" xfId="0" applyNumberFormat="1" applyFont="1" applyFill="1" applyBorder="1" applyAlignment="1">
      <alignment horizontal="center" vertical="center"/>
    </xf>
    <xf numFmtId="9" fontId="8" fillId="4" borderId="15" xfId="0" applyNumberFormat="1" applyFont="1" applyFill="1" applyBorder="1" applyAlignment="1">
      <alignment horizontal="center" vertical="center"/>
    </xf>
    <xf numFmtId="15" fontId="0" fillId="0" borderId="21" xfId="0" applyNumberFormat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9" fontId="8" fillId="0" borderId="12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 vertical="center"/>
    </xf>
    <xf numFmtId="9" fontId="8" fillId="0" borderId="15" xfId="0" applyNumberFormat="1" applyFont="1" applyBorder="1" applyAlignment="1">
      <alignment horizontal="center" vertical="center"/>
    </xf>
    <xf numFmtId="15" fontId="0" fillId="4" borderId="13" xfId="0" applyNumberForma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0" fillId="4" borderId="13" xfId="0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3" xfId="0" applyFon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 vertical="center"/>
    </xf>
    <xf numFmtId="1" fontId="0" fillId="4" borderId="15" xfId="0" applyNumberFormat="1" applyFill="1" applyBorder="1" applyAlignment="1">
      <alignment horizontal="center" vertical="center"/>
    </xf>
    <xf numFmtId="9" fontId="0" fillId="4" borderId="12" xfId="0" applyNumberFormat="1" applyFill="1" applyBorder="1" applyAlignment="1">
      <alignment horizontal="center" vertical="center"/>
    </xf>
    <xf numFmtId="9" fontId="0" fillId="4" borderId="13" xfId="0" applyNumberFormat="1" applyFill="1" applyBorder="1" applyAlignment="1">
      <alignment horizontal="center" vertical="center"/>
    </xf>
    <xf numFmtId="9" fontId="0" fillId="4" borderId="15" xfId="0" applyNumberFormat="1" applyFill="1" applyBorder="1" applyAlignment="1">
      <alignment horizontal="center" vertical="center"/>
    </xf>
    <xf numFmtId="1" fontId="9" fillId="4" borderId="13" xfId="0" applyNumberFormat="1" applyFont="1" applyFill="1" applyBorder="1" applyAlignment="1">
      <alignment horizontal="center" vertical="center"/>
    </xf>
    <xf numFmtId="1" fontId="2" fillId="4" borderId="13" xfId="0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2" fontId="10" fillId="0" borderId="13" xfId="0" applyNumberFormat="1" applyFont="1" applyBorder="1" applyAlignment="1">
      <alignment horizontal="center" vertical="center"/>
    </xf>
    <xf numFmtId="15" fontId="10" fillId="0" borderId="13" xfId="0" applyNumberFormat="1" applyFont="1" applyBorder="1" applyAlignment="1">
      <alignment horizontal="center" vertical="center"/>
    </xf>
    <xf numFmtId="15" fontId="11" fillId="0" borderId="13" xfId="0" applyNumberFormat="1" applyFont="1" applyBorder="1" applyAlignment="1">
      <alignment horizontal="center" vertical="center"/>
    </xf>
    <xf numFmtId="2" fontId="10" fillId="4" borderId="13" xfId="0" applyNumberFormat="1" applyFont="1" applyFill="1" applyBorder="1" applyAlignment="1">
      <alignment horizontal="center" vertical="center"/>
    </xf>
    <xf numFmtId="15" fontId="10" fillId="4" borderId="13" xfId="0" applyNumberFormat="1" applyFont="1" applyFill="1" applyBorder="1" applyAlignment="1">
      <alignment horizontal="center" vertical="center"/>
    </xf>
    <xf numFmtId="15" fontId="11" fillId="4" borderId="13" xfId="0" applyNumberFormat="1" applyFont="1" applyFill="1" applyBorder="1" applyAlignment="1">
      <alignment horizontal="center" vertical="center"/>
    </xf>
    <xf numFmtId="9" fontId="0" fillId="4" borderId="15" xfId="0" applyNumberFormat="1" applyFill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" fontId="2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5" fontId="2" fillId="0" borderId="24" xfId="0" applyNumberFormat="1" applyFont="1" applyBorder="1" applyAlignment="1">
      <alignment vertical="center"/>
    </xf>
    <xf numFmtId="15" fontId="2" fillId="0" borderId="24" xfId="0" applyNumberFormat="1" applyFont="1" applyBorder="1" applyAlignment="1">
      <alignment horizontal="left" vertical="center"/>
    </xf>
    <xf numFmtId="1" fontId="9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6" fillId="3" borderId="25" xfId="0" applyNumberFormat="1" applyFont="1" applyFill="1" applyBorder="1" applyAlignment="1">
      <alignment horizontal="center" vertical="center" wrapText="1"/>
    </xf>
    <xf numFmtId="17" fontId="6" fillId="3" borderId="26" xfId="0" applyNumberFormat="1" applyFont="1" applyFill="1" applyBorder="1" applyAlignment="1">
      <alignment horizontal="center" vertical="center" wrapText="1"/>
    </xf>
    <xf numFmtId="17" fontId="6" fillId="3" borderId="27" xfId="0" applyNumberFormat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9" fontId="10" fillId="0" borderId="12" xfId="0" applyNumberFormat="1" applyFont="1" applyBorder="1" applyAlignment="1">
      <alignment horizontal="center" vertical="center"/>
    </xf>
    <xf numFmtId="9" fontId="10" fillId="0" borderId="13" xfId="0" applyNumberFormat="1" applyFont="1" applyBorder="1" applyAlignment="1">
      <alignment horizontal="center" vertical="center"/>
    </xf>
    <xf numFmtId="9" fontId="10" fillId="0" borderId="15" xfId="0" applyNumberFormat="1" applyFont="1" applyBorder="1" applyAlignment="1">
      <alignment horizontal="center" vertical="center"/>
    </xf>
    <xf numFmtId="9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9" fontId="10" fillId="4" borderId="12" xfId="0" applyNumberFormat="1" applyFont="1" applyFill="1" applyBorder="1" applyAlignment="1">
      <alignment horizontal="center" vertical="center"/>
    </xf>
    <xf numFmtId="9" fontId="10" fillId="4" borderId="13" xfId="0" applyNumberFormat="1" applyFont="1" applyFill="1" applyBorder="1" applyAlignment="1">
      <alignment horizontal="center" vertical="center"/>
    </xf>
    <xf numFmtId="9" fontId="10" fillId="4" borderId="15" xfId="0" applyNumberFormat="1" applyFont="1" applyFill="1" applyBorder="1" applyAlignment="1">
      <alignment horizontal="center" vertical="center"/>
    </xf>
    <xf numFmtId="9" fontId="10" fillId="4" borderId="20" xfId="0" applyNumberFormat="1" applyFont="1" applyFill="1" applyBorder="1" applyAlignment="1">
      <alignment horizontal="center" vertical="center"/>
    </xf>
    <xf numFmtId="3" fontId="10" fillId="4" borderId="20" xfId="0" applyNumberFormat="1" applyFont="1" applyFill="1" applyBorder="1" applyAlignment="1">
      <alignment horizontal="center" vertical="center"/>
    </xf>
    <xf numFmtId="9" fontId="10" fillId="0" borderId="28" xfId="0" applyNumberFormat="1" applyFont="1" applyBorder="1" applyAlignment="1">
      <alignment horizontal="center" vertical="center"/>
    </xf>
    <xf numFmtId="9" fontId="10" fillId="0" borderId="29" xfId="0" applyNumberFormat="1" applyFont="1" applyBorder="1" applyAlignment="1">
      <alignment horizontal="center" vertical="center"/>
    </xf>
    <xf numFmtId="9" fontId="10" fillId="0" borderId="30" xfId="0" applyNumberFormat="1" applyFont="1" applyBorder="1" applyAlignment="1">
      <alignment horizontal="center" vertical="center"/>
    </xf>
    <xf numFmtId="9" fontId="10" fillId="0" borderId="31" xfId="0" applyNumberFormat="1" applyFont="1" applyBorder="1" applyAlignment="1">
      <alignment horizontal="center" vertical="center"/>
    </xf>
    <xf numFmtId="3" fontId="10" fillId="0" borderId="3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6" fillId="3" borderId="22" xfId="0" applyFont="1" applyFill="1" applyBorder="1" applyAlignment="1">
      <alignment vertical="center"/>
    </xf>
    <xf numFmtId="0" fontId="6" fillId="3" borderId="23" xfId="0" applyFont="1" applyFill="1" applyBorder="1" applyAlignment="1">
      <alignment vertical="center"/>
    </xf>
    <xf numFmtId="0" fontId="6" fillId="3" borderId="24" xfId="0" applyFont="1" applyFill="1" applyBorder="1" applyAlignment="1">
      <alignment vertical="center"/>
    </xf>
    <xf numFmtId="1" fontId="6" fillId="3" borderId="24" xfId="0" applyNumberFormat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15" fontId="6" fillId="3" borderId="24" xfId="0" applyNumberFormat="1" applyFont="1" applyFill="1" applyBorder="1" applyAlignment="1">
      <alignment vertical="center"/>
    </xf>
    <xf numFmtId="15" fontId="6" fillId="3" borderId="24" xfId="0" applyNumberFormat="1" applyFont="1" applyFill="1" applyBorder="1" applyAlignment="1">
      <alignment horizontal="left" vertical="center"/>
    </xf>
    <xf numFmtId="0" fontId="0" fillId="0" borderId="24" xfId="0" applyBorder="1"/>
    <xf numFmtId="15" fontId="0" fillId="0" borderId="24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2A96-94AE-4929-84C4-769AD1BCAB80}">
  <dimension ref="A1:BD55"/>
  <sheetViews>
    <sheetView tabSelected="1" topLeftCell="A46" workbookViewId="0">
      <selection activeCell="F7" sqref="F7"/>
    </sheetView>
  </sheetViews>
  <sheetFormatPr defaultColWidth="9.33203125" defaultRowHeight="14.4"/>
  <cols>
    <col min="1" max="1" width="7.109375" customWidth="1"/>
    <col min="2" max="2" width="17.88671875" customWidth="1"/>
    <col min="3" max="3" width="11" customWidth="1"/>
    <col min="4" max="4" width="6.33203125" customWidth="1"/>
    <col min="5" max="5" width="13.33203125" style="1" hidden="1" customWidth="1"/>
    <col min="6" max="6" width="8.6640625" style="1" customWidth="1"/>
    <col min="7" max="7" width="7.5546875" style="1" customWidth="1"/>
    <col min="8" max="8" width="9.44140625" style="1" customWidth="1"/>
    <col min="9" max="9" width="10.109375" customWidth="1"/>
    <col min="10" max="10" width="5.33203125" customWidth="1"/>
    <col min="11" max="11" width="8.88671875" customWidth="1"/>
    <col min="12" max="12" width="7.44140625" customWidth="1"/>
    <col min="13" max="13" width="12.109375" style="1" hidden="1" customWidth="1"/>
    <col min="14" max="14" width="10.109375" style="1" customWidth="1"/>
    <col min="15" max="24" width="7.44140625" customWidth="1"/>
    <col min="25" max="25" width="8.33203125" customWidth="1"/>
    <col min="26" max="26" width="7.6640625" customWidth="1"/>
    <col min="27" max="27" width="1.88671875" customWidth="1"/>
    <col min="28" max="30" width="8.5546875" customWidth="1"/>
    <col min="31" max="31" width="1.33203125" customWidth="1"/>
    <col min="35" max="35" width="12.6640625" customWidth="1"/>
    <col min="36" max="36" width="1.6640625" customWidth="1"/>
  </cols>
  <sheetData>
    <row r="1" spans="1:56">
      <c r="F1"/>
    </row>
    <row r="2" spans="1:56" ht="33.75" customHeight="1">
      <c r="A2" s="2" t="s">
        <v>0</v>
      </c>
      <c r="B2" s="3"/>
      <c r="C2" s="3"/>
      <c r="D2" s="3"/>
      <c r="E2" s="3"/>
      <c r="F2" s="3"/>
      <c r="G2" s="3"/>
      <c r="H2" s="3"/>
      <c r="I2" s="4"/>
      <c r="J2" s="4"/>
      <c r="K2" s="5"/>
      <c r="L2" s="4"/>
      <c r="M2" s="6"/>
      <c r="N2" s="6"/>
      <c r="O2" s="4"/>
      <c r="P2" s="7"/>
      <c r="Q2" s="8" t="s">
        <v>1</v>
      </c>
      <c r="S2" s="9"/>
      <c r="T2" s="9"/>
      <c r="W2" s="9"/>
      <c r="X2" s="10"/>
      <c r="Y2" s="11">
        <v>46021</v>
      </c>
      <c r="Z2" s="11"/>
      <c r="AA2" s="3"/>
      <c r="AB2" s="12" t="s">
        <v>2</v>
      </c>
      <c r="AC2" s="12"/>
      <c r="AD2" s="12"/>
      <c r="AF2" s="12" t="s">
        <v>3</v>
      </c>
      <c r="AG2" s="12"/>
      <c r="AH2" s="12"/>
      <c r="AI2" s="12"/>
      <c r="AK2" s="12" t="s">
        <v>4</v>
      </c>
      <c r="AL2" s="12"/>
    </row>
    <row r="3" spans="1:56" ht="56.25" customHeight="1">
      <c r="A3" s="13" t="s">
        <v>5</v>
      </c>
      <c r="B3" s="14" t="s">
        <v>6</v>
      </c>
      <c r="C3" s="14" t="s">
        <v>7</v>
      </c>
      <c r="D3" s="15" t="s">
        <v>8</v>
      </c>
      <c r="E3" s="14" t="s">
        <v>9</v>
      </c>
      <c r="F3" s="14" t="s">
        <v>9</v>
      </c>
      <c r="G3" s="14" t="s">
        <v>10</v>
      </c>
      <c r="H3" s="15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14" t="s">
        <v>16</v>
      </c>
      <c r="N3" s="14" t="s">
        <v>17</v>
      </c>
      <c r="O3" s="16">
        <v>45748</v>
      </c>
      <c r="P3" s="16">
        <v>45778</v>
      </c>
      <c r="Q3" s="16">
        <v>45809</v>
      </c>
      <c r="R3" s="16">
        <v>45839</v>
      </c>
      <c r="S3" s="17">
        <v>45870</v>
      </c>
      <c r="T3" s="16">
        <v>45901</v>
      </c>
      <c r="U3" s="16">
        <v>45931</v>
      </c>
      <c r="V3" s="16">
        <v>45962</v>
      </c>
      <c r="W3" s="16">
        <v>45992</v>
      </c>
      <c r="X3" s="16">
        <v>46023</v>
      </c>
      <c r="Y3" s="16">
        <v>46054</v>
      </c>
      <c r="Z3" s="16">
        <v>46082</v>
      </c>
      <c r="AB3" s="18" t="s">
        <v>18</v>
      </c>
      <c r="AC3" s="16" t="s">
        <v>19</v>
      </c>
      <c r="AD3" s="19" t="s">
        <v>20</v>
      </c>
      <c r="AF3" s="20" t="s">
        <v>21</v>
      </c>
      <c r="AG3" s="21" t="s">
        <v>22</v>
      </c>
      <c r="AH3" s="21" t="s">
        <v>23</v>
      </c>
      <c r="AI3" s="21" t="s">
        <v>24</v>
      </c>
      <c r="AK3" s="20" t="s">
        <v>25</v>
      </c>
      <c r="AL3" s="21" t="s">
        <v>26</v>
      </c>
    </row>
    <row r="4" spans="1:56" ht="19.5" customHeight="1">
      <c r="A4" s="22" t="s">
        <v>27</v>
      </c>
      <c r="B4" s="23"/>
      <c r="C4" s="23"/>
      <c r="D4" s="24"/>
      <c r="E4" s="23"/>
      <c r="F4" s="23"/>
      <c r="G4" s="23"/>
      <c r="H4" s="24"/>
      <c r="I4" s="23"/>
      <c r="J4" s="23"/>
      <c r="K4" s="23"/>
      <c r="L4" s="23"/>
      <c r="M4" s="23"/>
      <c r="N4" s="23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B4" s="26"/>
      <c r="AC4" s="25"/>
      <c r="AD4" s="27"/>
      <c r="AF4" s="26"/>
      <c r="AG4" s="25"/>
      <c r="AH4" s="25"/>
      <c r="AI4" s="25"/>
      <c r="AK4" s="28"/>
      <c r="AL4" s="29"/>
    </row>
    <row r="5" spans="1:56" s="3" customFormat="1" ht="25.2" customHeight="1">
      <c r="A5" s="30">
        <v>1</v>
      </c>
      <c r="B5" s="31" t="s">
        <v>28</v>
      </c>
      <c r="C5" s="31" t="s">
        <v>29</v>
      </c>
      <c r="D5" s="32" t="s">
        <v>30</v>
      </c>
      <c r="E5" s="31" t="s">
        <v>31</v>
      </c>
      <c r="F5" s="33" t="s">
        <v>31</v>
      </c>
      <c r="G5" s="32" t="s">
        <v>32</v>
      </c>
      <c r="H5" s="32" t="s">
        <v>33</v>
      </c>
      <c r="I5" s="32">
        <v>250</v>
      </c>
      <c r="J5" s="34">
        <v>1.37</v>
      </c>
      <c r="K5" s="35">
        <f t="shared" ref="K5:K11" si="0">I5*J5</f>
        <v>342.5</v>
      </c>
      <c r="L5" s="32" t="s">
        <v>34</v>
      </c>
      <c r="M5" s="36">
        <v>45612</v>
      </c>
      <c r="N5" s="37"/>
      <c r="O5" s="38"/>
      <c r="P5" s="38">
        <v>75</v>
      </c>
      <c r="Q5" s="38">
        <v>50</v>
      </c>
      <c r="R5" s="38"/>
      <c r="S5" s="38">
        <v>125</v>
      </c>
      <c r="T5" s="38">
        <v>0</v>
      </c>
      <c r="U5" s="38"/>
      <c r="V5" s="38"/>
      <c r="W5" s="32"/>
      <c r="X5" s="32"/>
      <c r="Y5" s="32"/>
      <c r="Z5" s="39"/>
      <c r="AA5" s="40"/>
      <c r="AB5" s="30">
        <v>0</v>
      </c>
      <c r="AC5" s="32">
        <v>0</v>
      </c>
      <c r="AD5" s="39">
        <v>0</v>
      </c>
      <c r="AF5" s="41" t="s">
        <v>35</v>
      </c>
      <c r="AG5" s="42" t="s">
        <v>35</v>
      </c>
      <c r="AH5" s="42" t="s">
        <v>35</v>
      </c>
      <c r="AI5" s="43" t="s">
        <v>35</v>
      </c>
      <c r="AK5" s="44"/>
      <c r="AL5" s="44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s="3" customFormat="1" ht="25.2" customHeight="1">
      <c r="A6" s="45">
        <v>2</v>
      </c>
      <c r="B6" s="46" t="s">
        <v>28</v>
      </c>
      <c r="C6" s="46" t="s">
        <v>29</v>
      </c>
      <c r="D6" s="47" t="s">
        <v>36</v>
      </c>
      <c r="E6" s="46" t="s">
        <v>31</v>
      </c>
      <c r="F6" s="48" t="s">
        <v>31</v>
      </c>
      <c r="G6" s="47" t="s">
        <v>32</v>
      </c>
      <c r="H6" s="47" t="s">
        <v>33</v>
      </c>
      <c r="I6" s="47">
        <v>50</v>
      </c>
      <c r="J6" s="49">
        <v>1.37</v>
      </c>
      <c r="K6" s="50">
        <f t="shared" si="0"/>
        <v>68.5</v>
      </c>
      <c r="L6" s="47" t="s">
        <v>37</v>
      </c>
      <c r="M6" s="51">
        <v>45714</v>
      </c>
      <c r="N6" s="52"/>
      <c r="O6" s="53"/>
      <c r="P6" s="53">
        <v>50</v>
      </c>
      <c r="Q6" s="53">
        <v>0</v>
      </c>
      <c r="R6" s="53">
        <v>0</v>
      </c>
      <c r="S6" s="53">
        <v>0</v>
      </c>
      <c r="T6" s="53">
        <v>0</v>
      </c>
      <c r="U6" s="53"/>
      <c r="V6" s="53"/>
      <c r="W6" s="54"/>
      <c r="X6" s="54"/>
      <c r="Y6" s="54"/>
      <c r="Z6" s="55"/>
      <c r="AA6" s="40"/>
      <c r="AB6" s="45">
        <v>0</v>
      </c>
      <c r="AC6" s="47">
        <v>0</v>
      </c>
      <c r="AD6" s="56">
        <v>0</v>
      </c>
      <c r="AF6" s="57" t="s">
        <v>35</v>
      </c>
      <c r="AG6" s="58" t="s">
        <v>35</v>
      </c>
      <c r="AH6" s="58" t="s">
        <v>35</v>
      </c>
      <c r="AI6" s="59" t="s">
        <v>35</v>
      </c>
      <c r="AJ6" s="60"/>
      <c r="AK6" s="61"/>
      <c r="AL6" s="61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s="3" customFormat="1" ht="25.2" customHeight="1">
      <c r="A7" s="30">
        <v>3</v>
      </c>
      <c r="B7" s="31" t="s">
        <v>38</v>
      </c>
      <c r="C7" s="31" t="s">
        <v>39</v>
      </c>
      <c r="D7" s="32" t="s">
        <v>40</v>
      </c>
      <c r="E7" s="31" t="s">
        <v>41</v>
      </c>
      <c r="F7" s="33" t="s">
        <v>41</v>
      </c>
      <c r="G7" s="32" t="s">
        <v>32</v>
      </c>
      <c r="H7" s="32" t="s">
        <v>42</v>
      </c>
      <c r="I7" s="32">
        <v>187.5</v>
      </c>
      <c r="J7" s="34">
        <v>1.36</v>
      </c>
      <c r="K7" s="35">
        <f t="shared" si="0"/>
        <v>255.00000000000003</v>
      </c>
      <c r="L7" s="32" t="s">
        <v>43</v>
      </c>
      <c r="M7" s="36">
        <v>45708</v>
      </c>
      <c r="N7" s="62" t="s">
        <v>44</v>
      </c>
      <c r="O7" s="63">
        <v>75</v>
      </c>
      <c r="P7" s="63">
        <v>112.5</v>
      </c>
      <c r="Q7" s="63">
        <v>0</v>
      </c>
      <c r="R7" s="63">
        <v>0</v>
      </c>
      <c r="S7" s="63">
        <v>0</v>
      </c>
      <c r="T7" s="63">
        <v>0</v>
      </c>
      <c r="U7" s="63"/>
      <c r="V7" s="63"/>
      <c r="W7" s="64"/>
      <c r="X7" s="64"/>
      <c r="Y7" s="64"/>
      <c r="Z7" s="65"/>
      <c r="AA7" s="40"/>
      <c r="AB7" s="30">
        <v>0</v>
      </c>
      <c r="AC7" s="32">
        <v>0</v>
      </c>
      <c r="AD7" s="39">
        <v>0</v>
      </c>
      <c r="AF7" s="66" t="s">
        <v>35</v>
      </c>
      <c r="AG7" s="38" t="s">
        <v>35</v>
      </c>
      <c r="AH7" s="38" t="s">
        <v>35</v>
      </c>
      <c r="AI7" s="67" t="s">
        <v>35</v>
      </c>
      <c r="AK7" s="68"/>
      <c r="AL7" s="68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s="3" customFormat="1" ht="25.2" customHeight="1">
      <c r="A8" s="45">
        <v>4</v>
      </c>
      <c r="B8" s="46" t="s">
        <v>38</v>
      </c>
      <c r="C8" s="46" t="s">
        <v>39</v>
      </c>
      <c r="D8" s="47" t="s">
        <v>45</v>
      </c>
      <c r="E8" s="46" t="s">
        <v>41</v>
      </c>
      <c r="F8" s="48" t="s">
        <v>41</v>
      </c>
      <c r="G8" s="47" t="s">
        <v>32</v>
      </c>
      <c r="H8" s="47" t="s">
        <v>42</v>
      </c>
      <c r="I8" s="47">
        <v>350</v>
      </c>
      <c r="J8" s="49">
        <v>1.35</v>
      </c>
      <c r="K8" s="50">
        <f t="shared" si="0"/>
        <v>472.50000000000006</v>
      </c>
      <c r="L8" s="47" t="s">
        <v>43</v>
      </c>
      <c r="M8" s="51">
        <v>45708</v>
      </c>
      <c r="N8" s="69" t="s">
        <v>44</v>
      </c>
      <c r="O8" s="53"/>
      <c r="P8" s="53">
        <v>50</v>
      </c>
      <c r="Q8" s="53">
        <v>175</v>
      </c>
      <c r="R8" s="53"/>
      <c r="S8" s="53"/>
      <c r="T8" s="53"/>
      <c r="U8" s="53"/>
      <c r="V8" s="53">
        <v>125</v>
      </c>
      <c r="W8" s="54"/>
      <c r="X8" s="54"/>
      <c r="Y8" s="54"/>
      <c r="Z8" s="55"/>
      <c r="AA8" s="40"/>
      <c r="AB8" s="45"/>
      <c r="AC8" s="47"/>
      <c r="AD8" s="56"/>
      <c r="AF8" s="70" t="s">
        <v>35</v>
      </c>
      <c r="AG8" s="71" t="s">
        <v>35</v>
      </c>
      <c r="AH8" s="71" t="s">
        <v>35</v>
      </c>
      <c r="AI8" s="72" t="s">
        <v>35</v>
      </c>
      <c r="AJ8" s="60"/>
      <c r="AK8" s="61">
        <v>0</v>
      </c>
      <c r="AL8" s="61">
        <f>+AK8</f>
        <v>0</v>
      </c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 s="3" customFormat="1" ht="25.2" customHeight="1">
      <c r="A9" s="30">
        <v>5</v>
      </c>
      <c r="B9" s="31" t="s">
        <v>46</v>
      </c>
      <c r="C9" s="31" t="s">
        <v>47</v>
      </c>
      <c r="D9" s="32" t="s">
        <v>48</v>
      </c>
      <c r="E9" s="31" t="s">
        <v>41</v>
      </c>
      <c r="F9" s="33" t="s">
        <v>41</v>
      </c>
      <c r="G9" s="32" t="s">
        <v>49</v>
      </c>
      <c r="H9" s="32" t="s">
        <v>42</v>
      </c>
      <c r="I9" s="32"/>
      <c r="J9" s="34">
        <v>1.4</v>
      </c>
      <c r="K9" s="35">
        <f t="shared" si="0"/>
        <v>0</v>
      </c>
      <c r="L9" s="32" t="s">
        <v>50</v>
      </c>
      <c r="M9" s="36">
        <v>45721</v>
      </c>
      <c r="N9" s="73" t="s">
        <v>51</v>
      </c>
      <c r="O9" s="63">
        <v>145</v>
      </c>
      <c r="P9" s="63"/>
      <c r="Q9" s="63">
        <v>150</v>
      </c>
      <c r="R9" s="63"/>
      <c r="S9" s="63">
        <v>50</v>
      </c>
      <c r="T9" s="63">
        <v>75</v>
      </c>
      <c r="U9" s="63">
        <v>75</v>
      </c>
      <c r="V9" s="64"/>
      <c r="W9" s="74">
        <v>75</v>
      </c>
      <c r="X9" s="64"/>
      <c r="Y9" s="64"/>
      <c r="Z9" s="65"/>
      <c r="AA9" s="40"/>
      <c r="AB9" s="30"/>
      <c r="AC9" s="32"/>
      <c r="AD9" s="39"/>
      <c r="AF9" s="75" t="s">
        <v>35</v>
      </c>
      <c r="AG9" s="76" t="s">
        <v>35</v>
      </c>
      <c r="AH9" s="76" t="s">
        <v>35</v>
      </c>
      <c r="AI9" s="77" t="s">
        <v>35</v>
      </c>
      <c r="AK9" s="68">
        <v>7</v>
      </c>
      <c r="AL9" s="68">
        <f>+AK9</f>
        <v>7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 s="3" customFormat="1" ht="25.2" customHeight="1">
      <c r="A10" s="45">
        <v>6</v>
      </c>
      <c r="B10" s="46" t="s">
        <v>28</v>
      </c>
      <c r="C10" s="46" t="s">
        <v>52</v>
      </c>
      <c r="D10" s="47" t="s">
        <v>53</v>
      </c>
      <c r="E10" s="46" t="s">
        <v>31</v>
      </c>
      <c r="F10" s="48" t="s">
        <v>31</v>
      </c>
      <c r="G10" s="47" t="s">
        <v>32</v>
      </c>
      <c r="H10" s="47" t="s">
        <v>33</v>
      </c>
      <c r="I10" s="47">
        <v>250</v>
      </c>
      <c r="J10" s="49">
        <v>1.37</v>
      </c>
      <c r="K10" s="50">
        <f t="shared" si="0"/>
        <v>342.5</v>
      </c>
      <c r="L10" s="47" t="s">
        <v>50</v>
      </c>
      <c r="M10" s="51">
        <v>45721</v>
      </c>
      <c r="N10" s="78"/>
      <c r="O10" s="53">
        <v>50</v>
      </c>
      <c r="P10" s="53"/>
      <c r="Q10" s="53">
        <v>125</v>
      </c>
      <c r="R10" s="53"/>
      <c r="S10" s="53"/>
      <c r="T10" s="53">
        <v>75</v>
      </c>
      <c r="U10" s="53">
        <v>0</v>
      </c>
      <c r="V10" s="53"/>
      <c r="W10" s="54"/>
      <c r="X10" s="54"/>
      <c r="Y10" s="54"/>
      <c r="Z10" s="55"/>
      <c r="AA10" s="40"/>
      <c r="AB10" s="45"/>
      <c r="AC10" s="47"/>
      <c r="AD10" s="56"/>
      <c r="AF10" s="70" t="s">
        <v>35</v>
      </c>
      <c r="AG10" s="71" t="s">
        <v>35</v>
      </c>
      <c r="AH10" s="71" t="s">
        <v>35</v>
      </c>
      <c r="AI10" s="72" t="s">
        <v>35</v>
      </c>
      <c r="AJ10" s="60"/>
      <c r="AK10" s="61"/>
      <c r="AL10" s="61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 s="3" customFormat="1" ht="25.2" customHeight="1">
      <c r="A11" s="30">
        <v>7</v>
      </c>
      <c r="B11" s="31" t="s">
        <v>54</v>
      </c>
      <c r="C11" s="31" t="s">
        <v>29</v>
      </c>
      <c r="D11" s="32" t="s">
        <v>55</v>
      </c>
      <c r="E11" s="31" t="s">
        <v>41</v>
      </c>
      <c r="F11" s="33" t="s">
        <v>41</v>
      </c>
      <c r="G11" s="32" t="s">
        <v>32</v>
      </c>
      <c r="H11" s="32" t="s">
        <v>42</v>
      </c>
      <c r="I11" s="32">
        <v>500</v>
      </c>
      <c r="J11" s="34">
        <v>1.37</v>
      </c>
      <c r="K11" s="35">
        <f t="shared" si="0"/>
        <v>685</v>
      </c>
      <c r="L11" s="32" t="s">
        <v>56</v>
      </c>
      <c r="M11" s="36">
        <v>45741</v>
      </c>
      <c r="N11" s="37">
        <v>45990</v>
      </c>
      <c r="O11" s="63">
        <v>100</v>
      </c>
      <c r="P11" s="63"/>
      <c r="Q11" s="63">
        <v>137.5</v>
      </c>
      <c r="R11" s="63"/>
      <c r="S11" s="63">
        <v>87.5</v>
      </c>
      <c r="T11" s="63">
        <v>100</v>
      </c>
      <c r="U11" s="63"/>
      <c r="V11" s="63">
        <v>75</v>
      </c>
      <c r="W11" s="64"/>
      <c r="X11" s="64"/>
      <c r="Y11" s="64"/>
      <c r="Z11" s="65"/>
      <c r="AA11" s="40"/>
      <c r="AB11" s="30"/>
      <c r="AC11" s="32"/>
      <c r="AD11" s="39"/>
      <c r="AF11" s="75" t="s">
        <v>35</v>
      </c>
      <c r="AG11" s="76" t="s">
        <v>35</v>
      </c>
      <c r="AH11" s="76" t="s">
        <v>35</v>
      </c>
      <c r="AI11" s="77" t="s">
        <v>35</v>
      </c>
      <c r="AK11" s="68">
        <v>0</v>
      </c>
      <c r="AL11" s="68">
        <f>+AK11</f>
        <v>0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 s="3" customFormat="1" ht="25.2" customHeight="1">
      <c r="A12" s="45" t="s">
        <v>57</v>
      </c>
      <c r="B12" s="46" t="s">
        <v>58</v>
      </c>
      <c r="C12" s="46" t="s">
        <v>59</v>
      </c>
      <c r="D12" s="47" t="s">
        <v>60</v>
      </c>
      <c r="E12" s="46" t="s">
        <v>61</v>
      </c>
      <c r="F12" s="48" t="s">
        <v>31</v>
      </c>
      <c r="G12" s="47" t="s">
        <v>32</v>
      </c>
      <c r="H12" s="47" t="s">
        <v>33</v>
      </c>
      <c r="I12" s="47">
        <v>25</v>
      </c>
      <c r="J12" s="49">
        <v>1.35</v>
      </c>
      <c r="K12" s="50">
        <f t="shared" ref="K12:K28" si="1">J12*I12</f>
        <v>33.75</v>
      </c>
      <c r="L12" s="47" t="s">
        <v>62</v>
      </c>
      <c r="M12" s="51">
        <v>45851</v>
      </c>
      <c r="N12" s="78" t="s">
        <v>63</v>
      </c>
      <c r="O12" s="53"/>
      <c r="P12" s="53"/>
      <c r="Q12" s="53"/>
      <c r="R12" s="53">
        <v>25</v>
      </c>
      <c r="S12" s="53">
        <v>0</v>
      </c>
      <c r="T12" s="53">
        <v>0</v>
      </c>
      <c r="U12" s="53">
        <v>0</v>
      </c>
      <c r="V12" s="53"/>
      <c r="W12" s="54">
        <v>0</v>
      </c>
      <c r="X12" s="54"/>
      <c r="Y12" s="54"/>
      <c r="Z12" s="55"/>
      <c r="AB12" s="45"/>
      <c r="AC12" s="47"/>
      <c r="AD12" s="56"/>
      <c r="AF12" s="70" t="s">
        <v>35</v>
      </c>
      <c r="AG12" s="71" t="s">
        <v>35</v>
      </c>
      <c r="AH12" s="71" t="s">
        <v>35</v>
      </c>
      <c r="AI12" s="72" t="s">
        <v>35</v>
      </c>
      <c r="AJ12" s="60"/>
      <c r="AK12" s="61"/>
      <c r="AL12" s="61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 s="3" customFormat="1" ht="25.2" customHeight="1">
      <c r="A13" s="30" t="s">
        <v>64</v>
      </c>
      <c r="B13" s="31" t="s">
        <v>28</v>
      </c>
      <c r="C13" s="31" t="s">
        <v>65</v>
      </c>
      <c r="D13" s="32" t="s">
        <v>60</v>
      </c>
      <c r="E13" s="31" t="s">
        <v>66</v>
      </c>
      <c r="F13" s="33" t="s">
        <v>31</v>
      </c>
      <c r="G13" s="32" t="s">
        <v>32</v>
      </c>
      <c r="H13" s="32" t="s">
        <v>33</v>
      </c>
      <c r="I13" s="79">
        <v>35</v>
      </c>
      <c r="J13" s="34">
        <v>1.35</v>
      </c>
      <c r="K13" s="35">
        <f t="shared" si="1"/>
        <v>47.25</v>
      </c>
      <c r="L13" s="32" t="s">
        <v>62</v>
      </c>
      <c r="M13" s="36">
        <v>45851</v>
      </c>
      <c r="N13" s="37" t="s">
        <v>63</v>
      </c>
      <c r="O13" s="63"/>
      <c r="P13" s="63"/>
      <c r="Q13" s="63"/>
      <c r="R13" s="63">
        <v>35</v>
      </c>
      <c r="S13" s="63">
        <v>0</v>
      </c>
      <c r="T13" s="63">
        <v>0</v>
      </c>
      <c r="U13" s="63">
        <v>0</v>
      </c>
      <c r="V13" s="63"/>
      <c r="W13" s="64">
        <v>0</v>
      </c>
      <c r="X13" s="64"/>
      <c r="Y13" s="64"/>
      <c r="Z13" s="65"/>
      <c r="AB13" s="30"/>
      <c r="AC13" s="32"/>
      <c r="AD13" s="39"/>
      <c r="AF13" s="75" t="s">
        <v>35</v>
      </c>
      <c r="AG13" s="76" t="s">
        <v>35</v>
      </c>
      <c r="AH13" s="76" t="s">
        <v>35</v>
      </c>
      <c r="AI13" s="77" t="s">
        <v>35</v>
      </c>
      <c r="AK13" s="68"/>
      <c r="AL13" s="68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 s="3" customFormat="1" ht="25.2" customHeight="1">
      <c r="A14" s="45" t="s">
        <v>67</v>
      </c>
      <c r="B14" s="46" t="s">
        <v>68</v>
      </c>
      <c r="C14" s="80" t="s">
        <v>69</v>
      </c>
      <c r="D14" s="47" t="s">
        <v>70</v>
      </c>
      <c r="E14" s="46" t="s">
        <v>66</v>
      </c>
      <c r="F14" s="48" t="s">
        <v>31</v>
      </c>
      <c r="G14" s="47" t="s">
        <v>32</v>
      </c>
      <c r="H14" s="47" t="s">
        <v>33</v>
      </c>
      <c r="I14" s="47">
        <v>100</v>
      </c>
      <c r="J14" s="49">
        <v>1.35</v>
      </c>
      <c r="K14" s="50">
        <f t="shared" si="1"/>
        <v>135</v>
      </c>
      <c r="L14" s="47" t="s">
        <v>34</v>
      </c>
      <c r="M14" s="51">
        <v>45612</v>
      </c>
      <c r="N14" s="78" t="s">
        <v>63</v>
      </c>
      <c r="O14" s="53"/>
      <c r="P14" s="53"/>
      <c r="Q14" s="53"/>
      <c r="R14" s="53"/>
      <c r="S14" s="53"/>
      <c r="T14" s="53">
        <v>100</v>
      </c>
      <c r="U14" s="53"/>
      <c r="V14" s="53"/>
      <c r="W14" s="54"/>
      <c r="X14" s="54"/>
      <c r="Y14" s="54"/>
      <c r="Z14" s="55"/>
      <c r="AB14" s="45"/>
      <c r="AC14" s="47"/>
      <c r="AD14" s="56"/>
      <c r="AF14" s="70" t="s">
        <v>35</v>
      </c>
      <c r="AG14" s="71" t="s">
        <v>35</v>
      </c>
      <c r="AH14" s="71" t="s">
        <v>35</v>
      </c>
      <c r="AI14" s="72" t="s">
        <v>35</v>
      </c>
      <c r="AJ14" s="60"/>
      <c r="AK14" s="61"/>
      <c r="AL14" s="61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 s="3" customFormat="1" ht="25.2" customHeight="1">
      <c r="A15" s="30" t="s">
        <v>71</v>
      </c>
      <c r="B15" s="31" t="s">
        <v>28</v>
      </c>
      <c r="C15" s="31" t="s">
        <v>47</v>
      </c>
      <c r="D15" s="32" t="s">
        <v>72</v>
      </c>
      <c r="E15" s="31" t="s">
        <v>31</v>
      </c>
      <c r="F15" s="33" t="s">
        <v>31</v>
      </c>
      <c r="G15" s="32" t="s">
        <v>32</v>
      </c>
      <c r="H15" s="32" t="s">
        <v>33</v>
      </c>
      <c r="I15" s="32">
        <v>150</v>
      </c>
      <c r="J15" s="34">
        <v>1.35</v>
      </c>
      <c r="K15" s="35">
        <f t="shared" si="1"/>
        <v>202.5</v>
      </c>
      <c r="L15" s="32" t="s">
        <v>62</v>
      </c>
      <c r="M15" s="36">
        <v>45851</v>
      </c>
      <c r="N15" s="37" t="s">
        <v>63</v>
      </c>
      <c r="O15" s="63"/>
      <c r="P15" s="63"/>
      <c r="Q15" s="63"/>
      <c r="R15" s="63"/>
      <c r="S15" s="63"/>
      <c r="T15" s="63">
        <v>50</v>
      </c>
      <c r="U15" s="63"/>
      <c r="V15" s="63"/>
      <c r="W15" s="81"/>
      <c r="X15" s="64">
        <v>50</v>
      </c>
      <c r="Y15" s="82">
        <v>50</v>
      </c>
      <c r="Z15" s="65"/>
      <c r="AB15" s="30"/>
      <c r="AC15" s="32"/>
      <c r="AD15" s="39"/>
      <c r="AF15" s="83">
        <v>0.97</v>
      </c>
      <c r="AG15" s="84">
        <v>0.81699999999999995</v>
      </c>
      <c r="AH15" s="84">
        <v>0.62</v>
      </c>
      <c r="AI15" s="85" t="s">
        <v>73</v>
      </c>
      <c r="AK15" s="68">
        <v>360</v>
      </c>
      <c r="AL15" s="68">
        <v>240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 s="3" customFormat="1" ht="25.2" customHeight="1">
      <c r="A16" s="45" t="s">
        <v>74</v>
      </c>
      <c r="B16" s="46" t="s">
        <v>68</v>
      </c>
      <c r="C16" s="46" t="s">
        <v>75</v>
      </c>
      <c r="D16" s="47" t="s">
        <v>76</v>
      </c>
      <c r="E16" s="46" t="s">
        <v>66</v>
      </c>
      <c r="F16" s="48" t="s">
        <v>31</v>
      </c>
      <c r="G16" s="47" t="s">
        <v>32</v>
      </c>
      <c r="H16" s="47" t="s">
        <v>33</v>
      </c>
      <c r="I16" s="47">
        <f>SUM(I17:I18)</f>
        <v>292</v>
      </c>
      <c r="J16" s="49">
        <v>1.35</v>
      </c>
      <c r="K16" s="50">
        <f t="shared" si="1"/>
        <v>394.20000000000005</v>
      </c>
      <c r="L16" s="47" t="s">
        <v>56</v>
      </c>
      <c r="M16" s="51">
        <v>45876</v>
      </c>
      <c r="N16" s="78" t="s">
        <v>63</v>
      </c>
      <c r="O16" s="53">
        <f t="shared" ref="O16:AD16" si="2">SUM(O17:O18)</f>
        <v>0</v>
      </c>
      <c r="P16" s="53">
        <f t="shared" si="2"/>
        <v>0</v>
      </c>
      <c r="Q16" s="53">
        <f t="shared" si="2"/>
        <v>0</v>
      </c>
      <c r="R16" s="53">
        <f t="shared" si="2"/>
        <v>0</v>
      </c>
      <c r="S16" s="53">
        <f t="shared" si="2"/>
        <v>0</v>
      </c>
      <c r="T16" s="53">
        <f t="shared" si="2"/>
        <v>50</v>
      </c>
      <c r="U16" s="53">
        <f t="shared" si="2"/>
        <v>0</v>
      </c>
      <c r="V16" s="53">
        <f t="shared" si="2"/>
        <v>50</v>
      </c>
      <c r="W16" s="53">
        <f t="shared" si="2"/>
        <v>50</v>
      </c>
      <c r="X16" s="54">
        <f t="shared" si="2"/>
        <v>75</v>
      </c>
      <c r="Y16" s="54">
        <f t="shared" si="2"/>
        <v>67</v>
      </c>
      <c r="Z16" s="55">
        <f t="shared" si="2"/>
        <v>0</v>
      </c>
      <c r="AA16" s="3">
        <f t="shared" si="2"/>
        <v>0</v>
      </c>
      <c r="AB16" s="86"/>
      <c r="AC16" s="47"/>
      <c r="AD16" s="87">
        <f t="shared" si="2"/>
        <v>0</v>
      </c>
      <c r="AF16" s="88">
        <v>0.99399999999999999</v>
      </c>
      <c r="AG16" s="89">
        <v>0.89600000000000002</v>
      </c>
      <c r="AH16" s="89">
        <v>0.58399999999999996</v>
      </c>
      <c r="AI16" s="90" t="s">
        <v>77</v>
      </c>
      <c r="AJ16" s="60"/>
      <c r="AK16" s="61">
        <v>358</v>
      </c>
      <c r="AL16" s="61">
        <v>480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 s="3" customFormat="1" ht="18.75" hidden="1" customHeight="1">
      <c r="A17" s="30" t="s">
        <v>78</v>
      </c>
      <c r="B17" s="31" t="s">
        <v>68</v>
      </c>
      <c r="C17" s="31" t="s">
        <v>75</v>
      </c>
      <c r="D17" s="32" t="s">
        <v>76</v>
      </c>
      <c r="E17" s="31" t="s">
        <v>66</v>
      </c>
      <c r="F17" s="31" t="s">
        <v>31</v>
      </c>
      <c r="G17" s="32" t="s">
        <v>32</v>
      </c>
      <c r="H17" s="32" t="s">
        <v>33</v>
      </c>
      <c r="I17" s="32">
        <v>142</v>
      </c>
      <c r="J17" s="34">
        <v>1.35</v>
      </c>
      <c r="K17" s="35">
        <f t="shared" si="1"/>
        <v>191.70000000000002</v>
      </c>
      <c r="L17" s="32"/>
      <c r="M17" s="36">
        <v>45876</v>
      </c>
      <c r="N17" s="37" t="s">
        <v>63</v>
      </c>
      <c r="O17" s="63"/>
      <c r="P17" s="63"/>
      <c r="Q17" s="63"/>
      <c r="R17" s="63"/>
      <c r="S17" s="63"/>
      <c r="T17" s="63">
        <v>50</v>
      </c>
      <c r="U17" s="63"/>
      <c r="V17" s="63">
        <v>50</v>
      </c>
      <c r="W17" s="64"/>
      <c r="X17" s="64"/>
      <c r="Y17" s="64">
        <v>42</v>
      </c>
      <c r="Z17" s="65"/>
      <c r="AB17" s="30"/>
      <c r="AC17" s="32"/>
      <c r="AD17" s="39"/>
      <c r="AF17" s="83"/>
      <c r="AG17" s="84"/>
      <c r="AH17" s="84"/>
      <c r="AI17" s="85"/>
      <c r="AK17" s="68"/>
      <c r="AL17" s="68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 s="3" customFormat="1" ht="17.25" hidden="1" customHeight="1">
      <c r="A18" s="45" t="s">
        <v>79</v>
      </c>
      <c r="B18" s="46" t="s">
        <v>28</v>
      </c>
      <c r="C18" s="46" t="s">
        <v>75</v>
      </c>
      <c r="D18" s="47" t="s">
        <v>76</v>
      </c>
      <c r="E18" s="46" t="s">
        <v>66</v>
      </c>
      <c r="F18" s="48" t="s">
        <v>31</v>
      </c>
      <c r="G18" s="47" t="s">
        <v>32</v>
      </c>
      <c r="H18" s="47" t="s">
        <v>33</v>
      </c>
      <c r="I18" s="47">
        <v>150</v>
      </c>
      <c r="J18" s="49">
        <v>1.35</v>
      </c>
      <c r="K18" s="50">
        <f t="shared" si="1"/>
        <v>202.5</v>
      </c>
      <c r="L18" s="47"/>
      <c r="M18" s="51">
        <v>45876</v>
      </c>
      <c r="N18" s="78" t="s">
        <v>63</v>
      </c>
      <c r="O18" s="53"/>
      <c r="P18" s="53"/>
      <c r="Q18" s="53"/>
      <c r="R18" s="53"/>
      <c r="S18" s="53"/>
      <c r="T18" s="53"/>
      <c r="U18" s="53"/>
      <c r="V18" s="53"/>
      <c r="W18" s="91">
        <v>50</v>
      </c>
      <c r="X18" s="92">
        <v>75</v>
      </c>
      <c r="Y18" s="92">
        <v>25</v>
      </c>
      <c r="Z18" s="55"/>
      <c r="AB18" s="86"/>
      <c r="AC18" s="50"/>
      <c r="AD18" s="87"/>
      <c r="AF18" s="88"/>
      <c r="AG18" s="89"/>
      <c r="AH18" s="89"/>
      <c r="AI18" s="90"/>
      <c r="AJ18" s="60"/>
      <c r="AK18" s="61"/>
      <c r="AL18" s="61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 s="3" customFormat="1" ht="25.2" customHeight="1">
      <c r="A19" s="30" t="s">
        <v>80</v>
      </c>
      <c r="B19" s="31" t="s">
        <v>28</v>
      </c>
      <c r="C19" s="31" t="s">
        <v>81</v>
      </c>
      <c r="D19" s="32" t="s">
        <v>76</v>
      </c>
      <c r="E19" s="31" t="s">
        <v>31</v>
      </c>
      <c r="F19" s="31" t="s">
        <v>31</v>
      </c>
      <c r="G19" s="32" t="s">
        <v>32</v>
      </c>
      <c r="H19" s="32" t="s">
        <v>33</v>
      </c>
      <c r="I19" s="32">
        <v>150</v>
      </c>
      <c r="J19" s="34">
        <v>1.35</v>
      </c>
      <c r="K19" s="35">
        <f t="shared" si="1"/>
        <v>202.5</v>
      </c>
      <c r="L19" s="32" t="s">
        <v>56</v>
      </c>
      <c r="M19" s="36">
        <v>45876</v>
      </c>
      <c r="N19" s="37" t="s">
        <v>63</v>
      </c>
      <c r="O19" s="63"/>
      <c r="P19" s="63"/>
      <c r="Q19" s="63"/>
      <c r="R19" s="63"/>
      <c r="S19" s="63"/>
      <c r="T19" s="63"/>
      <c r="U19" s="63"/>
      <c r="V19" s="63"/>
      <c r="X19" s="64">
        <v>62.5</v>
      </c>
      <c r="Y19" s="64">
        <v>87.5</v>
      </c>
      <c r="Z19" s="65"/>
      <c r="AB19" s="30"/>
      <c r="AC19" s="32"/>
      <c r="AD19" s="39"/>
      <c r="AF19" s="83">
        <v>0.98</v>
      </c>
      <c r="AG19" s="84">
        <v>0.81699999999999995</v>
      </c>
      <c r="AH19" s="84">
        <v>0.46433552593507715</v>
      </c>
      <c r="AI19" s="85" t="s">
        <v>77</v>
      </c>
      <c r="AK19" s="68">
        <v>520</v>
      </c>
      <c r="AL19" s="68">
        <v>380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 s="3" customFormat="1" ht="25.2" customHeight="1">
      <c r="A20" s="45" t="s">
        <v>82</v>
      </c>
      <c r="B20" s="46" t="s">
        <v>28</v>
      </c>
      <c r="C20" s="46" t="s">
        <v>81</v>
      </c>
      <c r="D20" s="47" t="s">
        <v>53</v>
      </c>
      <c r="E20" s="46" t="s">
        <v>31</v>
      </c>
      <c r="F20" s="48" t="s">
        <v>31</v>
      </c>
      <c r="G20" s="47" t="s">
        <v>32</v>
      </c>
      <c r="H20" s="47" t="s">
        <v>33</v>
      </c>
      <c r="I20" s="47">
        <v>150</v>
      </c>
      <c r="J20" s="49">
        <v>1.35</v>
      </c>
      <c r="K20" s="50">
        <f t="shared" si="1"/>
        <v>202.5</v>
      </c>
      <c r="L20" s="47" t="s">
        <v>50</v>
      </c>
      <c r="M20" s="51">
        <v>45721</v>
      </c>
      <c r="N20" s="78" t="s">
        <v>63</v>
      </c>
      <c r="O20" s="53"/>
      <c r="P20" s="53"/>
      <c r="Q20" s="53"/>
      <c r="R20" s="53"/>
      <c r="S20" s="53"/>
      <c r="T20" s="53"/>
      <c r="U20" s="53"/>
      <c r="V20" s="53"/>
      <c r="W20" s="54"/>
      <c r="X20" s="54">
        <v>75</v>
      </c>
      <c r="Y20" s="54">
        <v>75</v>
      </c>
      <c r="Z20" s="55"/>
      <c r="AB20" s="45"/>
      <c r="AC20" s="47"/>
      <c r="AD20" s="56"/>
      <c r="AF20" s="88">
        <v>0.95</v>
      </c>
      <c r="AG20" s="89">
        <v>0.48699999999999999</v>
      </c>
      <c r="AH20" s="89">
        <v>0.13300000000000001</v>
      </c>
      <c r="AI20" s="90" t="s">
        <v>83</v>
      </c>
      <c r="AJ20" s="60"/>
      <c r="AK20" s="61">
        <v>412</v>
      </c>
      <c r="AL20" s="61">
        <v>840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 s="3" customFormat="1" ht="25.2" customHeight="1">
      <c r="A21" s="30" t="s">
        <v>84</v>
      </c>
      <c r="B21" s="31" t="s">
        <v>85</v>
      </c>
      <c r="C21" s="31" t="s">
        <v>86</v>
      </c>
      <c r="D21" s="32" t="s">
        <v>87</v>
      </c>
      <c r="E21" s="31" t="s">
        <v>85</v>
      </c>
      <c r="F21" s="31" t="s">
        <v>88</v>
      </c>
      <c r="G21" s="32" t="s">
        <v>49</v>
      </c>
      <c r="H21" s="32" t="s">
        <v>33</v>
      </c>
      <c r="I21" s="32">
        <v>125</v>
      </c>
      <c r="J21" s="34">
        <v>1.36</v>
      </c>
      <c r="K21" s="35">
        <f t="shared" si="1"/>
        <v>170</v>
      </c>
      <c r="L21" s="32" t="s">
        <v>37</v>
      </c>
      <c r="M21" s="36">
        <v>45714</v>
      </c>
      <c r="N21" s="37" t="s">
        <v>63</v>
      </c>
      <c r="O21" s="63"/>
      <c r="P21" s="63"/>
      <c r="Q21" s="63"/>
      <c r="R21" s="63"/>
      <c r="S21" s="63"/>
      <c r="T21" s="63">
        <v>50</v>
      </c>
      <c r="U21" s="63"/>
      <c r="V21" s="63"/>
      <c r="W21" s="53">
        <v>75</v>
      </c>
      <c r="X21" s="64"/>
      <c r="Y21" s="64"/>
      <c r="Z21" s="65"/>
      <c r="AB21" s="30"/>
      <c r="AC21" s="32"/>
      <c r="AD21" s="39"/>
      <c r="AF21" s="75" t="s">
        <v>35</v>
      </c>
      <c r="AG21" s="76" t="s">
        <v>35</v>
      </c>
      <c r="AH21" s="76" t="s">
        <v>35</v>
      </c>
      <c r="AI21" s="77" t="s">
        <v>35</v>
      </c>
      <c r="AK21" s="68"/>
      <c r="AL21" s="68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 s="98" customFormat="1" ht="25.2" customHeight="1">
      <c r="A22" s="45" t="s">
        <v>89</v>
      </c>
      <c r="B22" s="93" t="s">
        <v>54</v>
      </c>
      <c r="C22" s="93" t="s">
        <v>90</v>
      </c>
      <c r="D22" s="94" t="s">
        <v>60</v>
      </c>
      <c r="E22" s="93" t="s">
        <v>41</v>
      </c>
      <c r="F22" s="95" t="s">
        <v>41</v>
      </c>
      <c r="G22" s="94" t="s">
        <v>32</v>
      </c>
      <c r="H22" s="94" t="s">
        <v>42</v>
      </c>
      <c r="I22" s="94">
        <v>75</v>
      </c>
      <c r="J22" s="49">
        <v>1.35</v>
      </c>
      <c r="K22" s="50">
        <f t="shared" si="1"/>
        <v>101.25</v>
      </c>
      <c r="L22" s="94" t="s">
        <v>62</v>
      </c>
      <c r="M22" s="51">
        <v>45851</v>
      </c>
      <c r="N22" s="78">
        <v>45990</v>
      </c>
      <c r="O22" s="53"/>
      <c r="P22" s="53"/>
      <c r="Q22" s="53"/>
      <c r="R22" s="53"/>
      <c r="S22" s="53"/>
      <c r="T22" s="53"/>
      <c r="U22" s="53"/>
      <c r="V22" s="54"/>
      <c r="W22" s="74">
        <v>75</v>
      </c>
      <c r="X22" s="96"/>
      <c r="Y22" s="96"/>
      <c r="Z22" s="97">
        <v>0</v>
      </c>
      <c r="AB22" s="45"/>
      <c r="AC22" s="47"/>
      <c r="AD22" s="56"/>
      <c r="AF22" s="70" t="s">
        <v>35</v>
      </c>
      <c r="AG22" s="71" t="s">
        <v>35</v>
      </c>
      <c r="AH22" s="71" t="s">
        <v>35</v>
      </c>
      <c r="AI22" s="72" t="s">
        <v>35</v>
      </c>
      <c r="AJ22" s="99"/>
      <c r="AK22" s="61"/>
      <c r="AL22" s="61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 s="3" customFormat="1" ht="25.2" customHeight="1">
      <c r="A23" s="30" t="s">
        <v>91</v>
      </c>
      <c r="B23" s="31" t="s">
        <v>92</v>
      </c>
      <c r="C23" s="31" t="s">
        <v>93</v>
      </c>
      <c r="D23" s="32" t="s">
        <v>94</v>
      </c>
      <c r="E23" s="31" t="s">
        <v>41</v>
      </c>
      <c r="F23" s="31" t="s">
        <v>41</v>
      </c>
      <c r="G23" s="32" t="s">
        <v>49</v>
      </c>
      <c r="H23" s="32" t="s">
        <v>95</v>
      </c>
      <c r="I23" s="32">
        <v>50</v>
      </c>
      <c r="J23" s="100">
        <v>1.3306</v>
      </c>
      <c r="K23" s="35">
        <f t="shared" si="1"/>
        <v>66.53</v>
      </c>
      <c r="L23" s="32" t="s">
        <v>96</v>
      </c>
      <c r="M23" s="101">
        <v>45997</v>
      </c>
      <c r="N23" s="102">
        <v>46034</v>
      </c>
      <c r="O23" s="63"/>
      <c r="P23" s="63"/>
      <c r="Q23" s="63"/>
      <c r="R23" s="63"/>
      <c r="S23" s="63"/>
      <c r="T23" s="63"/>
      <c r="U23" s="63"/>
      <c r="V23" s="63"/>
      <c r="X23" s="64">
        <v>50</v>
      </c>
      <c r="Y23" s="64"/>
      <c r="Z23" s="65"/>
      <c r="AB23" s="30"/>
      <c r="AC23" s="32"/>
      <c r="AD23" s="39"/>
      <c r="AF23" s="75" t="s">
        <v>35</v>
      </c>
      <c r="AG23" s="76" t="s">
        <v>35</v>
      </c>
      <c r="AH23" s="76" t="s">
        <v>35</v>
      </c>
      <c r="AI23" s="77" t="s">
        <v>35</v>
      </c>
      <c r="AK23" s="68">
        <v>129</v>
      </c>
      <c r="AL23" s="68">
        <v>250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 s="3" customFormat="1" ht="25.2" customHeight="1">
      <c r="A24" s="45" t="s">
        <v>97</v>
      </c>
      <c r="B24" s="46" t="s">
        <v>98</v>
      </c>
      <c r="C24" s="46" t="s">
        <v>93</v>
      </c>
      <c r="D24" s="47" t="s">
        <v>99</v>
      </c>
      <c r="E24" s="46" t="s">
        <v>41</v>
      </c>
      <c r="F24" s="46" t="s">
        <v>41</v>
      </c>
      <c r="G24" s="47" t="s">
        <v>49</v>
      </c>
      <c r="H24" s="47" t="s">
        <v>95</v>
      </c>
      <c r="I24" s="47">
        <v>200</v>
      </c>
      <c r="J24" s="103">
        <v>1.3181</v>
      </c>
      <c r="K24" s="50">
        <f t="shared" si="1"/>
        <v>263.62</v>
      </c>
      <c r="L24" s="47" t="s">
        <v>96</v>
      </c>
      <c r="M24" s="104">
        <v>45997</v>
      </c>
      <c r="N24" s="105">
        <v>46034</v>
      </c>
      <c r="O24" s="53"/>
      <c r="P24" s="53"/>
      <c r="Q24" s="53"/>
      <c r="R24" s="53"/>
      <c r="S24" s="53"/>
      <c r="T24" s="53"/>
      <c r="U24" s="53"/>
      <c r="V24" s="53"/>
      <c r="W24" s="54"/>
      <c r="X24" s="54">
        <v>175</v>
      </c>
      <c r="Y24" s="54">
        <v>25</v>
      </c>
      <c r="Z24" s="55"/>
      <c r="AB24" s="45"/>
      <c r="AC24" s="47"/>
      <c r="AD24" s="56"/>
      <c r="AF24" s="88">
        <v>0.77</v>
      </c>
      <c r="AG24" s="89">
        <v>0.41699999999999998</v>
      </c>
      <c r="AH24" s="89">
        <v>0.27800000000000002</v>
      </c>
      <c r="AI24" s="106" t="s">
        <v>100</v>
      </c>
      <c r="AJ24" s="60"/>
      <c r="AK24" s="61">
        <v>659</v>
      </c>
      <c r="AL24" s="61">
        <v>1050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 s="3" customFormat="1" ht="25.2" customHeight="1">
      <c r="A25" s="30" t="s">
        <v>101</v>
      </c>
      <c r="B25" s="31" t="s">
        <v>102</v>
      </c>
      <c r="C25" s="31" t="s">
        <v>93</v>
      </c>
      <c r="D25" s="32" t="s">
        <v>103</v>
      </c>
      <c r="E25" s="31" t="s">
        <v>41</v>
      </c>
      <c r="F25" s="31" t="s">
        <v>41</v>
      </c>
      <c r="G25" s="32" t="s">
        <v>49</v>
      </c>
      <c r="H25" s="32" t="s">
        <v>95</v>
      </c>
      <c r="I25" s="32">
        <v>167</v>
      </c>
      <c r="J25" s="100">
        <v>1.3293413173652695</v>
      </c>
      <c r="K25" s="35">
        <f t="shared" si="1"/>
        <v>222</v>
      </c>
      <c r="L25" s="32" t="s">
        <v>96</v>
      </c>
      <c r="M25" s="101">
        <v>45997</v>
      </c>
      <c r="N25" s="102">
        <v>46034</v>
      </c>
      <c r="O25" s="63"/>
      <c r="P25" s="63"/>
      <c r="Q25" s="63"/>
      <c r="R25" s="63"/>
      <c r="S25" s="63"/>
      <c r="T25" s="63"/>
      <c r="U25" s="63"/>
      <c r="V25" s="63"/>
      <c r="W25" s="64"/>
      <c r="X25" s="64">
        <v>100</v>
      </c>
      <c r="Y25" s="64">
        <v>67</v>
      </c>
      <c r="Z25" s="65"/>
      <c r="AB25" s="30"/>
      <c r="AC25" s="32"/>
      <c r="AD25" s="39"/>
      <c r="AF25" s="83">
        <v>0.60929999999999995</v>
      </c>
      <c r="AG25" s="84">
        <v>1.92628545426968E-2</v>
      </c>
      <c r="AH25" s="84"/>
      <c r="AI25" s="85" t="s">
        <v>104</v>
      </c>
      <c r="AK25" s="68">
        <v>331</v>
      </c>
      <c r="AL25" s="68">
        <v>1020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 s="3" customFormat="1" ht="25.2" customHeight="1">
      <c r="A26" s="45" t="s">
        <v>105</v>
      </c>
      <c r="B26" s="46" t="s">
        <v>106</v>
      </c>
      <c r="C26" s="46" t="s">
        <v>93</v>
      </c>
      <c r="D26" s="47" t="s">
        <v>107</v>
      </c>
      <c r="E26" s="46" t="s">
        <v>41</v>
      </c>
      <c r="F26" s="46" t="s">
        <v>41</v>
      </c>
      <c r="G26" s="47" t="s">
        <v>49</v>
      </c>
      <c r="H26" s="47" t="s">
        <v>95</v>
      </c>
      <c r="I26" s="47">
        <v>333</v>
      </c>
      <c r="J26" s="103">
        <v>1.3243243243243243</v>
      </c>
      <c r="K26" s="50">
        <f t="shared" si="1"/>
        <v>441</v>
      </c>
      <c r="L26" s="47" t="s">
        <v>96</v>
      </c>
      <c r="M26" s="104">
        <v>46049</v>
      </c>
      <c r="N26" s="105">
        <v>46034</v>
      </c>
      <c r="O26" s="53"/>
      <c r="P26" s="53"/>
      <c r="Q26" s="53"/>
      <c r="R26" s="53"/>
      <c r="S26" s="53"/>
      <c r="T26" s="53"/>
      <c r="U26" s="53"/>
      <c r="V26" s="53"/>
      <c r="W26" s="54"/>
      <c r="X26" s="54">
        <v>150</v>
      </c>
      <c r="Y26" s="54">
        <v>183</v>
      </c>
      <c r="Z26" s="55"/>
      <c r="AB26" s="45">
        <v>0</v>
      </c>
      <c r="AC26" s="47">
        <v>0</v>
      </c>
      <c r="AD26" s="56">
        <v>0</v>
      </c>
      <c r="AF26" s="88">
        <v>0.52390000000000003</v>
      </c>
      <c r="AG26" s="89">
        <v>0.03</v>
      </c>
      <c r="AH26" s="89"/>
      <c r="AI26" s="90" t="s">
        <v>108</v>
      </c>
      <c r="AJ26" s="60"/>
      <c r="AK26" s="61">
        <v>304</v>
      </c>
      <c r="AL26" s="61">
        <v>1620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 s="3" customFormat="1" ht="25.2" customHeight="1">
      <c r="A27" s="30" t="s">
        <v>109</v>
      </c>
      <c r="B27" s="31" t="s">
        <v>110</v>
      </c>
      <c r="C27" s="31" t="s">
        <v>93</v>
      </c>
      <c r="D27" s="32" t="s">
        <v>111</v>
      </c>
      <c r="E27" s="31" t="s">
        <v>41</v>
      </c>
      <c r="F27" s="31" t="s">
        <v>41</v>
      </c>
      <c r="G27" s="32" t="s">
        <v>49</v>
      </c>
      <c r="H27" s="32" t="s">
        <v>95</v>
      </c>
      <c r="I27" s="32">
        <v>50</v>
      </c>
      <c r="J27" s="100">
        <v>1.36</v>
      </c>
      <c r="K27" s="35">
        <f t="shared" si="1"/>
        <v>68</v>
      </c>
      <c r="L27" s="32" t="s">
        <v>112</v>
      </c>
      <c r="M27" s="36">
        <v>45373</v>
      </c>
      <c r="N27" s="62" t="s">
        <v>113</v>
      </c>
      <c r="O27" s="63"/>
      <c r="P27" s="63"/>
      <c r="Q27" s="63"/>
      <c r="R27" s="63"/>
      <c r="S27" s="63"/>
      <c r="T27" s="63"/>
      <c r="U27" s="63">
        <v>50</v>
      </c>
      <c r="V27" s="63"/>
      <c r="W27" s="64"/>
      <c r="X27" s="64"/>
      <c r="Y27" s="64"/>
      <c r="Z27" s="65"/>
      <c r="AB27" s="30">
        <v>0</v>
      </c>
      <c r="AC27" s="32">
        <v>0</v>
      </c>
      <c r="AD27" s="39"/>
      <c r="AF27" s="107">
        <v>0.99519999999999997</v>
      </c>
      <c r="AG27" s="84">
        <v>0.96199999999999997</v>
      </c>
      <c r="AH27" s="84">
        <v>0.91</v>
      </c>
      <c r="AI27" s="77" t="s">
        <v>35</v>
      </c>
      <c r="AK27" s="68">
        <v>56</v>
      </c>
      <c r="AL27" s="68">
        <v>90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 s="3" customFormat="1" ht="25.2" customHeight="1">
      <c r="A28" s="45" t="s">
        <v>114</v>
      </c>
      <c r="B28" s="46" t="s">
        <v>54</v>
      </c>
      <c r="C28" s="46" t="s">
        <v>90</v>
      </c>
      <c r="D28" s="94" t="s">
        <v>60</v>
      </c>
      <c r="E28" s="46" t="s">
        <v>41</v>
      </c>
      <c r="F28" s="48" t="s">
        <v>41</v>
      </c>
      <c r="G28" s="47" t="s">
        <v>49</v>
      </c>
      <c r="H28" s="94" t="s">
        <v>42</v>
      </c>
      <c r="I28" s="47">
        <v>425</v>
      </c>
      <c r="J28" s="103">
        <v>1.36</v>
      </c>
      <c r="K28" s="50">
        <f t="shared" si="1"/>
        <v>578</v>
      </c>
      <c r="L28" s="47" t="s">
        <v>62</v>
      </c>
      <c r="M28" s="51">
        <v>45961</v>
      </c>
      <c r="N28" s="104">
        <v>45990</v>
      </c>
      <c r="O28" s="53"/>
      <c r="P28" s="53"/>
      <c r="Q28" s="53"/>
      <c r="R28" s="53"/>
      <c r="S28" s="53"/>
      <c r="T28" s="53"/>
      <c r="U28" s="53"/>
      <c r="V28" s="53"/>
      <c r="W28" s="54"/>
      <c r="X28" s="54">
        <v>100</v>
      </c>
      <c r="Y28" s="54">
        <v>150</v>
      </c>
      <c r="Z28" s="55">
        <v>175</v>
      </c>
      <c r="AB28" s="45">
        <v>0</v>
      </c>
      <c r="AC28" s="47">
        <v>0</v>
      </c>
      <c r="AD28" s="56">
        <v>0</v>
      </c>
      <c r="AF28" s="88">
        <v>0.67800000000000005</v>
      </c>
      <c r="AG28" s="89">
        <v>0.18129999999999999</v>
      </c>
      <c r="AH28" s="89"/>
      <c r="AI28" s="90" t="s">
        <v>115</v>
      </c>
      <c r="AJ28" s="60"/>
      <c r="AK28" s="61">
        <v>794</v>
      </c>
      <c r="AL28" s="61">
        <v>1420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 s="116" customFormat="1" ht="24" customHeight="1">
      <c r="A29" s="108"/>
      <c r="B29" s="109" t="s">
        <v>116</v>
      </c>
      <c r="C29" s="109"/>
      <c r="D29" s="109"/>
      <c r="E29" s="109"/>
      <c r="F29" s="109"/>
      <c r="G29" s="109"/>
      <c r="H29" s="110"/>
      <c r="I29" s="111">
        <f>SUM(I5:I28)-I16</f>
        <v>3914.5</v>
      </c>
      <c r="J29" s="112"/>
      <c r="K29" s="111">
        <f>SUM(K5:K28)-K16</f>
        <v>5294.0999999999995</v>
      </c>
      <c r="L29" s="110"/>
      <c r="M29" s="113"/>
      <c r="N29" s="114"/>
      <c r="O29" s="115">
        <f>SUM(O5:O28)-O16</f>
        <v>370</v>
      </c>
      <c r="P29" s="115">
        <f t="shared" ref="P29:Z29" si="3">SUM(P5:P28)-P16</f>
        <v>287.5</v>
      </c>
      <c r="Q29" s="115">
        <f t="shared" si="3"/>
        <v>637.5</v>
      </c>
      <c r="R29" s="115">
        <f t="shared" si="3"/>
        <v>60</v>
      </c>
      <c r="S29" s="115">
        <f t="shared" si="3"/>
        <v>262.5</v>
      </c>
      <c r="T29" s="115">
        <f t="shared" si="3"/>
        <v>500</v>
      </c>
      <c r="U29" s="115">
        <f t="shared" si="3"/>
        <v>125</v>
      </c>
      <c r="V29" s="115">
        <f t="shared" si="3"/>
        <v>250</v>
      </c>
      <c r="W29" s="115">
        <f t="shared" si="3"/>
        <v>275</v>
      </c>
      <c r="X29" s="111">
        <f t="shared" si="3"/>
        <v>837.5</v>
      </c>
      <c r="Y29" s="111">
        <f t="shared" si="3"/>
        <v>704.5</v>
      </c>
      <c r="Z29" s="111">
        <f t="shared" si="3"/>
        <v>175</v>
      </c>
      <c r="AA29"/>
      <c r="AB29" s="111">
        <f t="shared" ref="AB29:AD29" si="4">SUM(AB5:AB28)</f>
        <v>0</v>
      </c>
      <c r="AC29" s="111">
        <f t="shared" si="4"/>
        <v>0</v>
      </c>
      <c r="AD29" s="111">
        <f t="shared" si="4"/>
        <v>0</v>
      </c>
      <c r="AE29"/>
      <c r="AF29" s="111"/>
      <c r="AG29" s="111"/>
      <c r="AH29" s="111"/>
      <c r="AI29" s="111"/>
      <c r="AK29" s="111">
        <f>SUM(AK4:AK28)</f>
        <v>3930</v>
      </c>
      <c r="AL29" s="111">
        <f t="shared" ref="AL29" si="5">SUM(AL5:AL28)</f>
        <v>7397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 ht="19.5" customHeight="1">
      <c r="A30" s="22" t="s">
        <v>117</v>
      </c>
      <c r="B30" s="23"/>
      <c r="C30" s="23"/>
      <c r="D30" s="24"/>
      <c r="E30" s="23"/>
      <c r="F30" s="23"/>
      <c r="G30" s="23"/>
      <c r="H30" s="24"/>
      <c r="I30" s="23"/>
      <c r="J30" s="23"/>
      <c r="K30" s="23"/>
      <c r="L30" s="23"/>
      <c r="M30" s="23"/>
      <c r="N30" s="23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B30" s="26"/>
      <c r="AC30" s="25"/>
      <c r="AD30" s="27"/>
      <c r="AF30" s="117"/>
      <c r="AG30" s="118"/>
      <c r="AH30" s="118"/>
      <c r="AI30" s="118"/>
      <c r="AK30" s="119"/>
      <c r="AL30" s="119"/>
    </row>
    <row r="31" spans="1:56" s="3" customFormat="1" ht="25.2" customHeight="1">
      <c r="A31" s="30" t="s">
        <v>118</v>
      </c>
      <c r="B31" s="31" t="s">
        <v>119</v>
      </c>
      <c r="C31" s="31" t="s">
        <v>119</v>
      </c>
      <c r="D31" s="32" t="s">
        <v>72</v>
      </c>
      <c r="E31" s="31" t="s">
        <v>88</v>
      </c>
      <c r="F31" s="31" t="s">
        <v>88</v>
      </c>
      <c r="G31" s="32" t="s">
        <v>32</v>
      </c>
      <c r="H31" s="79" t="s">
        <v>33</v>
      </c>
      <c r="I31" s="32">
        <v>12.5</v>
      </c>
      <c r="J31" s="32">
        <v>1.35</v>
      </c>
      <c r="K31" s="35">
        <f t="shared" ref="K31:K33" si="6">J31*I31</f>
        <v>16.875</v>
      </c>
      <c r="L31" s="32" t="s">
        <v>62</v>
      </c>
      <c r="M31" s="51">
        <v>45961</v>
      </c>
      <c r="N31" s="62" t="s">
        <v>63</v>
      </c>
      <c r="O31" s="32"/>
      <c r="P31" s="32"/>
      <c r="Q31" s="32"/>
      <c r="R31" s="32"/>
      <c r="S31" s="32"/>
      <c r="T31" s="38"/>
      <c r="U31" s="32"/>
      <c r="V31" s="32"/>
      <c r="W31" s="32"/>
      <c r="X31" s="32"/>
      <c r="Y31" s="32">
        <v>12.5</v>
      </c>
      <c r="Z31" s="39"/>
      <c r="AB31" s="120">
        <v>0</v>
      </c>
      <c r="AC31" s="79">
        <v>0</v>
      </c>
      <c r="AD31" s="121">
        <v>0</v>
      </c>
      <c r="AF31" s="122"/>
      <c r="AG31" s="123"/>
      <c r="AH31" s="123"/>
      <c r="AI31" s="124"/>
      <c r="AK31" s="125"/>
      <c r="AL31" s="126">
        <v>30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 s="3" customFormat="1" ht="25.2" customHeight="1">
      <c r="A32" s="45" t="s">
        <v>120</v>
      </c>
      <c r="B32" s="46" t="s">
        <v>121</v>
      </c>
      <c r="C32" s="46" t="s">
        <v>121</v>
      </c>
      <c r="D32" s="47" t="s">
        <v>72</v>
      </c>
      <c r="E32" s="46" t="s">
        <v>88</v>
      </c>
      <c r="F32" s="46" t="s">
        <v>88</v>
      </c>
      <c r="G32" s="47" t="s">
        <v>32</v>
      </c>
      <c r="H32" s="94" t="s">
        <v>33</v>
      </c>
      <c r="I32" s="47">
        <v>12.5</v>
      </c>
      <c r="J32" s="47">
        <v>1.35</v>
      </c>
      <c r="K32" s="50">
        <f t="shared" si="6"/>
        <v>16.875</v>
      </c>
      <c r="L32" s="47" t="s">
        <v>62</v>
      </c>
      <c r="M32" s="51">
        <v>45961</v>
      </c>
      <c r="N32" s="69" t="s">
        <v>63</v>
      </c>
      <c r="O32" s="47"/>
      <c r="P32" s="47"/>
      <c r="Q32" s="47"/>
      <c r="R32" s="47"/>
      <c r="S32" s="47"/>
      <c r="T32" s="58"/>
      <c r="U32" s="47"/>
      <c r="V32" s="47"/>
      <c r="W32" s="47"/>
      <c r="X32" s="47"/>
      <c r="Y32" s="47">
        <v>12.5</v>
      </c>
      <c r="Z32" s="56"/>
      <c r="AB32" s="127">
        <v>0</v>
      </c>
      <c r="AC32" s="94">
        <v>0</v>
      </c>
      <c r="AD32" s="128">
        <v>0</v>
      </c>
      <c r="AF32" s="129"/>
      <c r="AG32" s="130"/>
      <c r="AH32" s="130"/>
      <c r="AI32" s="131"/>
      <c r="AJ32" s="60"/>
      <c r="AK32" s="132"/>
      <c r="AL32" s="133">
        <v>30</v>
      </c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 s="3" customFormat="1" ht="25.2" customHeight="1">
      <c r="A33" s="30" t="s">
        <v>122</v>
      </c>
      <c r="B33" s="31" t="s">
        <v>28</v>
      </c>
      <c r="C33" s="31" t="s">
        <v>123</v>
      </c>
      <c r="D33" s="32" t="s">
        <v>72</v>
      </c>
      <c r="E33" s="31" t="s">
        <v>31</v>
      </c>
      <c r="F33" s="31" t="s">
        <v>31</v>
      </c>
      <c r="G33" s="32" t="s">
        <v>32</v>
      </c>
      <c r="H33" s="79" t="s">
        <v>33</v>
      </c>
      <c r="I33" s="32">
        <v>25</v>
      </c>
      <c r="J33" s="32">
        <v>1.35</v>
      </c>
      <c r="K33" s="35">
        <f t="shared" si="6"/>
        <v>33.75</v>
      </c>
      <c r="L33" s="32" t="s">
        <v>62</v>
      </c>
      <c r="M33" s="51">
        <v>45961</v>
      </c>
      <c r="N33" s="62" t="s">
        <v>63</v>
      </c>
      <c r="O33" s="32"/>
      <c r="P33" s="32"/>
      <c r="Q33" s="32"/>
      <c r="R33" s="32"/>
      <c r="S33" s="32"/>
      <c r="T33" s="38"/>
      <c r="U33" s="32"/>
      <c r="V33" s="32"/>
      <c r="W33" s="32"/>
      <c r="X33" s="32"/>
      <c r="Y33" s="32">
        <v>25</v>
      </c>
      <c r="Z33" s="39"/>
      <c r="AB33" s="120">
        <v>0</v>
      </c>
      <c r="AC33" s="79">
        <v>0</v>
      </c>
      <c r="AD33" s="121">
        <v>0</v>
      </c>
      <c r="AF33" s="134"/>
      <c r="AG33" s="135"/>
      <c r="AH33" s="135"/>
      <c r="AI33" s="136"/>
      <c r="AK33" s="137"/>
      <c r="AL33" s="138">
        <v>60</v>
      </c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 s="116" customFormat="1" ht="24" customHeight="1">
      <c r="A34" s="108"/>
      <c r="B34" s="109" t="s">
        <v>124</v>
      </c>
      <c r="C34" s="109"/>
      <c r="D34" s="109"/>
      <c r="E34" s="109"/>
      <c r="F34" s="109"/>
      <c r="G34" s="109"/>
      <c r="H34" s="110"/>
      <c r="I34" s="111">
        <f>SUM(I31:I33)</f>
        <v>50</v>
      </c>
      <c r="J34" s="112"/>
      <c r="K34" s="111">
        <f>SUM(K31:K33)</f>
        <v>67.5</v>
      </c>
      <c r="L34" s="110"/>
      <c r="M34" s="113"/>
      <c r="N34" s="114"/>
      <c r="O34" s="115">
        <f>SUM(O31:O33)</f>
        <v>0</v>
      </c>
      <c r="P34" s="115">
        <f t="shared" ref="P34:Z34" si="7">SUM(P31:P33)</f>
        <v>0</v>
      </c>
      <c r="Q34" s="115">
        <f t="shared" si="7"/>
        <v>0</v>
      </c>
      <c r="R34" s="115">
        <f t="shared" si="7"/>
        <v>0</v>
      </c>
      <c r="S34" s="115">
        <f t="shared" si="7"/>
        <v>0</v>
      </c>
      <c r="T34" s="115">
        <f t="shared" si="7"/>
        <v>0</v>
      </c>
      <c r="U34" s="111">
        <f t="shared" si="7"/>
        <v>0</v>
      </c>
      <c r="V34" s="111">
        <f t="shared" si="7"/>
        <v>0</v>
      </c>
      <c r="W34" s="111">
        <f t="shared" si="7"/>
        <v>0</v>
      </c>
      <c r="X34" s="111">
        <f t="shared" si="7"/>
        <v>0</v>
      </c>
      <c r="Y34" s="111">
        <f t="shared" si="7"/>
        <v>50</v>
      </c>
      <c r="Z34" s="111">
        <f t="shared" si="7"/>
        <v>0</v>
      </c>
      <c r="AA34"/>
      <c r="AB34" s="111">
        <f t="shared" ref="AB34:AD34" si="8">SUM(AB31:AB33)</f>
        <v>0</v>
      </c>
      <c r="AC34" s="111">
        <f t="shared" si="8"/>
        <v>0</v>
      </c>
      <c r="AD34" s="111">
        <f t="shared" si="8"/>
        <v>0</v>
      </c>
      <c r="AE34"/>
      <c r="AF34" s="111"/>
      <c r="AG34" s="111"/>
      <c r="AH34" s="111"/>
      <c r="AI34" s="111"/>
      <c r="AK34" s="111"/>
      <c r="AL34" s="111">
        <f>SUM(AL31:AL33)</f>
        <v>120</v>
      </c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 ht="19.5" customHeight="1">
      <c r="A35" s="22" t="s">
        <v>125</v>
      </c>
      <c r="B35" s="23"/>
      <c r="C35" s="23"/>
      <c r="D35" s="24"/>
      <c r="E35" s="23"/>
      <c r="F35" s="23"/>
      <c r="G35" s="23"/>
      <c r="H35" s="24"/>
      <c r="I35" s="23"/>
      <c r="J35" s="23"/>
      <c r="K35" s="23"/>
      <c r="L35" s="23"/>
      <c r="M35" s="23"/>
      <c r="N35" s="23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B35" s="26"/>
      <c r="AC35" s="25"/>
      <c r="AD35" s="27"/>
      <c r="AF35" s="117"/>
      <c r="AG35" s="118"/>
      <c r="AH35" s="118"/>
      <c r="AI35" s="118"/>
      <c r="AK35" s="119"/>
      <c r="AL35" s="119"/>
    </row>
    <row r="36" spans="1:56" s="3" customFormat="1" ht="25.2" customHeight="1">
      <c r="A36" s="30" t="s">
        <v>126</v>
      </c>
      <c r="B36" s="31" t="s">
        <v>68</v>
      </c>
      <c r="C36" s="31" t="s">
        <v>47</v>
      </c>
      <c r="D36" s="32" t="s">
        <v>127</v>
      </c>
      <c r="E36" s="31" t="s">
        <v>31</v>
      </c>
      <c r="F36" s="31" t="s">
        <v>31</v>
      </c>
      <c r="G36" s="32" t="s">
        <v>32</v>
      </c>
      <c r="H36" s="79" t="s">
        <v>33</v>
      </c>
      <c r="I36" s="32">
        <v>300</v>
      </c>
      <c r="J36" s="32">
        <v>1.35</v>
      </c>
      <c r="K36" s="35">
        <f>J36*I36</f>
        <v>405</v>
      </c>
      <c r="L36" s="32" t="s">
        <v>128</v>
      </c>
      <c r="M36" s="37">
        <v>45996</v>
      </c>
      <c r="N36" s="62" t="s">
        <v>63</v>
      </c>
      <c r="O36" s="32"/>
      <c r="P36" s="32"/>
      <c r="Q36" s="32"/>
      <c r="R36" s="32"/>
      <c r="S36" s="32"/>
      <c r="T36" s="38"/>
      <c r="U36" s="32"/>
      <c r="V36" s="32"/>
      <c r="W36" s="32"/>
      <c r="X36" s="139"/>
      <c r="Y36" s="79"/>
      <c r="Z36" s="121"/>
      <c r="AB36" s="120">
        <v>0</v>
      </c>
      <c r="AC36" s="79">
        <v>0</v>
      </c>
      <c r="AD36" s="121">
        <v>0</v>
      </c>
      <c r="AF36" s="122"/>
      <c r="AG36" s="123"/>
      <c r="AH36" s="123"/>
      <c r="AI36" s="124"/>
      <c r="AK36" s="68"/>
      <c r="AL36" s="68">
        <v>890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 s="3" customFormat="1" ht="25.2" customHeight="1">
      <c r="A37" s="45" t="s">
        <v>129</v>
      </c>
      <c r="B37" s="46" t="str">
        <f>B8</f>
        <v>MLP AP New</v>
      </c>
      <c r="C37" s="46" t="str">
        <f>C8</f>
        <v>ARE57L</v>
      </c>
      <c r="D37" s="47" t="str">
        <f>D8</f>
        <v>A-12</v>
      </c>
      <c r="E37" s="46" t="s">
        <v>41</v>
      </c>
      <c r="F37" s="46" t="s">
        <v>41</v>
      </c>
      <c r="G37" s="47" t="s">
        <v>32</v>
      </c>
      <c r="H37" s="94" t="s">
        <v>42</v>
      </c>
      <c r="I37" s="47">
        <v>350</v>
      </c>
      <c r="J37" s="47">
        <v>1.35</v>
      </c>
      <c r="K37" s="50">
        <f>J37*I37</f>
        <v>472.50000000000006</v>
      </c>
      <c r="L37" s="47" t="str">
        <f>L8</f>
        <v>PSS-13</v>
      </c>
      <c r="M37" s="51">
        <v>45708</v>
      </c>
      <c r="N37" s="69" t="s">
        <v>44</v>
      </c>
      <c r="O37" s="47"/>
      <c r="P37" s="47"/>
      <c r="Q37" s="47"/>
      <c r="R37" s="47"/>
      <c r="S37" s="47"/>
      <c r="T37" s="58"/>
      <c r="U37" s="47"/>
      <c r="V37" s="47"/>
      <c r="W37" s="47"/>
      <c r="X37" s="94"/>
      <c r="Y37" s="94"/>
      <c r="Z37" s="128"/>
      <c r="AB37" s="127">
        <v>0</v>
      </c>
      <c r="AC37" s="94">
        <v>0</v>
      </c>
      <c r="AD37" s="128">
        <v>0</v>
      </c>
      <c r="AF37" s="129">
        <v>0.98608962667097633</v>
      </c>
      <c r="AG37" s="130">
        <v>1.8700000000000001E-2</v>
      </c>
      <c r="AH37" s="130">
        <v>0</v>
      </c>
      <c r="AI37" s="90" t="s">
        <v>130</v>
      </c>
      <c r="AJ37" s="60"/>
      <c r="AK37" s="61"/>
      <c r="AL37" s="61">
        <v>870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1:56" s="116" customFormat="1" ht="24" customHeight="1">
      <c r="A38" s="108"/>
      <c r="B38" s="109" t="s">
        <v>131</v>
      </c>
      <c r="C38" s="109"/>
      <c r="D38" s="109"/>
      <c r="E38" s="109"/>
      <c r="F38" s="109"/>
      <c r="G38" s="109"/>
      <c r="H38" s="110"/>
      <c r="I38" s="111">
        <f>SUM(I36:I37)</f>
        <v>650</v>
      </c>
      <c r="J38" s="112"/>
      <c r="K38" s="111">
        <f>SUM(K36:K37)</f>
        <v>877.5</v>
      </c>
      <c r="L38" s="110"/>
      <c r="M38" s="113"/>
      <c r="N38" s="114"/>
      <c r="O38" s="115">
        <f>SUM(O36:O37)</f>
        <v>0</v>
      </c>
      <c r="P38" s="115">
        <f t="shared" ref="P38:Z38" si="9">SUM(P36:P37)</f>
        <v>0</v>
      </c>
      <c r="Q38" s="115">
        <f t="shared" si="9"/>
        <v>0</v>
      </c>
      <c r="R38" s="115">
        <f t="shared" si="9"/>
        <v>0</v>
      </c>
      <c r="S38" s="115">
        <f t="shared" si="9"/>
        <v>0</v>
      </c>
      <c r="T38" s="115">
        <f t="shared" si="9"/>
        <v>0</v>
      </c>
      <c r="U38" s="111">
        <f t="shared" si="9"/>
        <v>0</v>
      </c>
      <c r="V38" s="111">
        <f t="shared" si="9"/>
        <v>0</v>
      </c>
      <c r="W38" s="111">
        <f t="shared" si="9"/>
        <v>0</v>
      </c>
      <c r="X38" s="111">
        <f t="shared" si="9"/>
        <v>0</v>
      </c>
      <c r="Y38" s="111">
        <f t="shared" si="9"/>
        <v>0</v>
      </c>
      <c r="Z38" s="111">
        <f t="shared" si="9"/>
        <v>0</v>
      </c>
      <c r="AA38"/>
      <c r="AB38" s="111">
        <f t="shared" ref="AB38:AD38" si="10">SUM(AB36:AB37)</f>
        <v>0</v>
      </c>
      <c r="AC38" s="111">
        <f t="shared" si="10"/>
        <v>0</v>
      </c>
      <c r="AD38" s="111">
        <f t="shared" si="10"/>
        <v>0</v>
      </c>
      <c r="AE38"/>
      <c r="AF38" s="111"/>
      <c r="AG38" s="111"/>
      <c r="AH38" s="111"/>
      <c r="AI38" s="111"/>
      <c r="AK38" s="111">
        <f>AK36+AK37</f>
        <v>0</v>
      </c>
      <c r="AL38" s="111">
        <f>AL36+AL37</f>
        <v>1760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</row>
    <row r="39" spans="1:56" s="116" customFormat="1" ht="24" customHeight="1">
      <c r="A39" s="108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40"/>
      <c r="AA39"/>
      <c r="AB39" s="108"/>
      <c r="AC39" s="109"/>
      <c r="AD39" s="140"/>
      <c r="AE39"/>
      <c r="AF39" s="108"/>
      <c r="AG39" s="109"/>
      <c r="AH39" s="109"/>
      <c r="AI39" s="140"/>
      <c r="AK39" s="110"/>
      <c r="AL39" s="140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1:56" s="116" customFormat="1" ht="24" customHeight="1">
      <c r="A40" s="141" t="s">
        <v>132</v>
      </c>
      <c r="B40" s="142"/>
      <c r="C40" s="142"/>
      <c r="D40" s="142"/>
      <c r="E40" s="142"/>
      <c r="F40" s="142"/>
      <c r="G40" s="142"/>
      <c r="H40" s="143"/>
      <c r="I40" s="144">
        <f>+I29+I34+I38</f>
        <v>4614.5</v>
      </c>
      <c r="J40" s="145"/>
      <c r="K40" s="144">
        <f>+K29+K34+K38</f>
        <v>6239.0999999999995</v>
      </c>
      <c r="L40" s="143"/>
      <c r="M40" s="146"/>
      <c r="N40" s="147"/>
      <c r="O40" s="144">
        <f>+O29+O34+O38</f>
        <v>370</v>
      </c>
      <c r="P40" s="144">
        <f t="shared" ref="P40:Z40" si="11">+P29+P34+P38</f>
        <v>287.5</v>
      </c>
      <c r="Q40" s="144">
        <f t="shared" si="11"/>
        <v>637.5</v>
      </c>
      <c r="R40" s="144">
        <f t="shared" si="11"/>
        <v>60</v>
      </c>
      <c r="S40" s="144">
        <f t="shared" si="11"/>
        <v>262.5</v>
      </c>
      <c r="T40" s="144">
        <f t="shared" si="11"/>
        <v>500</v>
      </c>
      <c r="U40" s="144">
        <f t="shared" si="11"/>
        <v>125</v>
      </c>
      <c r="V40" s="144">
        <f t="shared" si="11"/>
        <v>250</v>
      </c>
      <c r="W40" s="144">
        <f t="shared" si="11"/>
        <v>275</v>
      </c>
      <c r="X40" s="144">
        <f t="shared" si="11"/>
        <v>837.5</v>
      </c>
      <c r="Y40" s="144">
        <f t="shared" si="11"/>
        <v>754.5</v>
      </c>
      <c r="Z40" s="144">
        <f t="shared" si="11"/>
        <v>175</v>
      </c>
      <c r="AA40"/>
      <c r="AB40" s="144">
        <f t="shared" ref="AB40:AD40" si="12">+AB29+AB34+AB38</f>
        <v>0</v>
      </c>
      <c r="AC40" s="144">
        <f t="shared" si="12"/>
        <v>0</v>
      </c>
      <c r="AD40" s="144">
        <f t="shared" si="12"/>
        <v>0</v>
      </c>
      <c r="AE40"/>
      <c r="AF40" s="144"/>
      <c r="AG40" s="144"/>
      <c r="AH40" s="144"/>
      <c r="AI40" s="144"/>
      <c r="AK40" s="144">
        <f t="shared" ref="AK40:AL40" si="13">+AK29+AK34+AK38</f>
        <v>3930</v>
      </c>
      <c r="AL40" s="144">
        <f t="shared" si="13"/>
        <v>9277</v>
      </c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6" spans="1:56">
      <c r="L46" s="148" t="s">
        <v>112</v>
      </c>
      <c r="M46" s="149"/>
      <c r="N46" s="149"/>
      <c r="O46" s="148">
        <f>SUMIF($L$5:$L$40,$L46,O$5:O$40)</f>
        <v>0</v>
      </c>
      <c r="P46" s="148">
        <f t="shared" ref="P46:Z46" si="14">SUMIF($L$5:$L$40,$L46,P$5:P$40)</f>
        <v>0</v>
      </c>
      <c r="Q46" s="148">
        <f t="shared" si="14"/>
        <v>0</v>
      </c>
      <c r="R46" s="148">
        <f t="shared" si="14"/>
        <v>0</v>
      </c>
      <c r="S46" s="148">
        <f t="shared" si="14"/>
        <v>0</v>
      </c>
      <c r="T46" s="148">
        <f t="shared" si="14"/>
        <v>0</v>
      </c>
      <c r="U46" s="148">
        <f t="shared" si="14"/>
        <v>50</v>
      </c>
      <c r="V46" s="148">
        <f t="shared" si="14"/>
        <v>0</v>
      </c>
      <c r="W46" s="148">
        <f t="shared" si="14"/>
        <v>0</v>
      </c>
      <c r="X46" s="148">
        <f t="shared" si="14"/>
        <v>0</v>
      </c>
      <c r="Y46" s="148">
        <f t="shared" si="14"/>
        <v>0</v>
      </c>
      <c r="Z46" s="148">
        <f t="shared" si="14"/>
        <v>0</v>
      </c>
    </row>
    <row r="47" spans="1:56">
      <c r="L47" s="148" t="s">
        <v>37</v>
      </c>
      <c r="M47" s="149"/>
      <c r="N47" s="149"/>
      <c r="O47" s="148">
        <f t="shared" ref="O47:Z54" si="15">SUMIF($L$5:$L$40,$L47,O$5:O$40)</f>
        <v>0</v>
      </c>
      <c r="P47" s="148">
        <f t="shared" si="15"/>
        <v>50</v>
      </c>
      <c r="Q47" s="148">
        <f t="shared" si="15"/>
        <v>0</v>
      </c>
      <c r="R47" s="148">
        <f t="shared" si="15"/>
        <v>0</v>
      </c>
      <c r="S47" s="148">
        <f t="shared" si="15"/>
        <v>0</v>
      </c>
      <c r="T47" s="148">
        <f t="shared" si="15"/>
        <v>50</v>
      </c>
      <c r="U47" s="148">
        <f t="shared" si="15"/>
        <v>0</v>
      </c>
      <c r="V47" s="148">
        <f t="shared" si="15"/>
        <v>0</v>
      </c>
      <c r="W47" s="148">
        <f t="shared" si="15"/>
        <v>75</v>
      </c>
      <c r="X47" s="148">
        <f t="shared" si="15"/>
        <v>0</v>
      </c>
      <c r="Y47" s="148">
        <f t="shared" si="15"/>
        <v>0</v>
      </c>
      <c r="Z47" s="148">
        <f t="shared" si="15"/>
        <v>0</v>
      </c>
    </row>
    <row r="48" spans="1:56">
      <c r="L48" s="148" t="s">
        <v>50</v>
      </c>
      <c r="M48" s="149"/>
      <c r="N48" s="149"/>
      <c r="O48" s="148">
        <f t="shared" si="15"/>
        <v>195</v>
      </c>
      <c r="P48" s="148">
        <f t="shared" si="15"/>
        <v>0</v>
      </c>
      <c r="Q48" s="148">
        <f t="shared" si="15"/>
        <v>275</v>
      </c>
      <c r="R48" s="148">
        <f t="shared" si="15"/>
        <v>0</v>
      </c>
      <c r="S48" s="148">
        <f t="shared" si="15"/>
        <v>50</v>
      </c>
      <c r="T48" s="148">
        <f t="shared" si="15"/>
        <v>150</v>
      </c>
      <c r="U48" s="148">
        <f t="shared" si="15"/>
        <v>75</v>
      </c>
      <c r="V48" s="148">
        <f t="shared" si="15"/>
        <v>0</v>
      </c>
      <c r="W48" s="148">
        <f t="shared" si="15"/>
        <v>75</v>
      </c>
      <c r="X48" s="148">
        <f t="shared" si="15"/>
        <v>75</v>
      </c>
      <c r="Y48" s="148">
        <f t="shared" si="15"/>
        <v>75</v>
      </c>
      <c r="Z48" s="148">
        <f t="shared" si="15"/>
        <v>0</v>
      </c>
    </row>
    <row r="49" spans="12:26">
      <c r="L49" s="148" t="s">
        <v>96</v>
      </c>
      <c r="M49" s="149"/>
      <c r="N49" s="149"/>
      <c r="O49" s="148">
        <f t="shared" si="15"/>
        <v>0</v>
      </c>
      <c r="P49" s="148">
        <f t="shared" si="15"/>
        <v>0</v>
      </c>
      <c r="Q49" s="148">
        <f t="shared" si="15"/>
        <v>0</v>
      </c>
      <c r="R49" s="148">
        <f t="shared" si="15"/>
        <v>0</v>
      </c>
      <c r="S49" s="148">
        <f t="shared" si="15"/>
        <v>0</v>
      </c>
      <c r="T49" s="148">
        <f t="shared" si="15"/>
        <v>0</v>
      </c>
      <c r="U49" s="148">
        <f t="shared" si="15"/>
        <v>0</v>
      </c>
      <c r="V49" s="148">
        <f t="shared" si="15"/>
        <v>0</v>
      </c>
      <c r="W49" s="148">
        <f t="shared" si="15"/>
        <v>0</v>
      </c>
      <c r="X49" s="148">
        <f t="shared" si="15"/>
        <v>475</v>
      </c>
      <c r="Y49" s="148">
        <f t="shared" si="15"/>
        <v>275</v>
      </c>
      <c r="Z49" s="148">
        <f t="shared" si="15"/>
        <v>0</v>
      </c>
    </row>
    <row r="50" spans="12:26">
      <c r="L50" s="148" t="s">
        <v>62</v>
      </c>
      <c r="M50" s="149"/>
      <c r="N50" s="149"/>
      <c r="O50" s="148">
        <f t="shared" si="15"/>
        <v>0</v>
      </c>
      <c r="P50" s="148">
        <f t="shared" si="15"/>
        <v>0</v>
      </c>
      <c r="Q50" s="148">
        <f t="shared" si="15"/>
        <v>0</v>
      </c>
      <c r="R50" s="148">
        <f t="shared" si="15"/>
        <v>60</v>
      </c>
      <c r="S50" s="148">
        <f t="shared" si="15"/>
        <v>0</v>
      </c>
      <c r="T50" s="148">
        <f t="shared" si="15"/>
        <v>50</v>
      </c>
      <c r="U50" s="148">
        <f t="shared" si="15"/>
        <v>0</v>
      </c>
      <c r="V50" s="148">
        <f t="shared" si="15"/>
        <v>0</v>
      </c>
      <c r="W50" s="148">
        <f t="shared" si="15"/>
        <v>75</v>
      </c>
      <c r="X50" s="148">
        <f t="shared" si="15"/>
        <v>150</v>
      </c>
      <c r="Y50" s="148">
        <f t="shared" si="15"/>
        <v>250</v>
      </c>
      <c r="Z50" s="148">
        <f t="shared" si="15"/>
        <v>175</v>
      </c>
    </row>
    <row r="51" spans="12:26">
      <c r="L51" s="148" t="s">
        <v>34</v>
      </c>
      <c r="M51" s="149"/>
      <c r="N51" s="149"/>
      <c r="O51" s="148">
        <f t="shared" si="15"/>
        <v>0</v>
      </c>
      <c r="P51" s="148">
        <f t="shared" si="15"/>
        <v>75</v>
      </c>
      <c r="Q51" s="148">
        <f t="shared" si="15"/>
        <v>50</v>
      </c>
      <c r="R51" s="148">
        <f t="shared" si="15"/>
        <v>0</v>
      </c>
      <c r="S51" s="148">
        <f t="shared" si="15"/>
        <v>125</v>
      </c>
      <c r="T51" s="148">
        <f t="shared" si="15"/>
        <v>100</v>
      </c>
      <c r="U51" s="148">
        <f t="shared" si="15"/>
        <v>0</v>
      </c>
      <c r="V51" s="148">
        <f t="shared" si="15"/>
        <v>0</v>
      </c>
      <c r="W51" s="148">
        <f t="shared" si="15"/>
        <v>0</v>
      </c>
      <c r="X51" s="148">
        <f t="shared" si="15"/>
        <v>0</v>
      </c>
      <c r="Y51" s="148">
        <f t="shared" si="15"/>
        <v>0</v>
      </c>
      <c r="Z51" s="148">
        <f t="shared" si="15"/>
        <v>0</v>
      </c>
    </row>
    <row r="52" spans="12:26">
      <c r="L52" s="148" t="s">
        <v>56</v>
      </c>
      <c r="M52" s="149"/>
      <c r="N52" s="149"/>
      <c r="O52" s="148">
        <f t="shared" si="15"/>
        <v>100</v>
      </c>
      <c r="P52" s="148">
        <f t="shared" si="15"/>
        <v>0</v>
      </c>
      <c r="Q52" s="148">
        <f t="shared" si="15"/>
        <v>137.5</v>
      </c>
      <c r="R52" s="148">
        <f t="shared" si="15"/>
        <v>0</v>
      </c>
      <c r="S52" s="148">
        <f t="shared" si="15"/>
        <v>87.5</v>
      </c>
      <c r="T52" s="148">
        <f t="shared" si="15"/>
        <v>150</v>
      </c>
      <c r="U52" s="148">
        <f t="shared" si="15"/>
        <v>0</v>
      </c>
      <c r="V52" s="148">
        <f t="shared" si="15"/>
        <v>125</v>
      </c>
      <c r="W52" s="148">
        <f t="shared" si="15"/>
        <v>50</v>
      </c>
      <c r="X52" s="148">
        <f t="shared" si="15"/>
        <v>137.5</v>
      </c>
      <c r="Y52" s="148">
        <f t="shared" si="15"/>
        <v>154.5</v>
      </c>
      <c r="Z52" s="148">
        <f t="shared" si="15"/>
        <v>0</v>
      </c>
    </row>
    <row r="53" spans="12:26">
      <c r="L53" s="148" t="s">
        <v>128</v>
      </c>
      <c r="M53" s="149"/>
      <c r="N53" s="149"/>
      <c r="O53" s="148">
        <f t="shared" si="15"/>
        <v>0</v>
      </c>
      <c r="P53" s="148">
        <f t="shared" si="15"/>
        <v>0</v>
      </c>
      <c r="Q53" s="148">
        <f t="shared" si="15"/>
        <v>0</v>
      </c>
      <c r="R53" s="148">
        <f t="shared" si="15"/>
        <v>0</v>
      </c>
      <c r="S53" s="148">
        <f t="shared" si="15"/>
        <v>0</v>
      </c>
      <c r="T53" s="148">
        <f t="shared" si="15"/>
        <v>0</v>
      </c>
      <c r="U53" s="148">
        <f t="shared" si="15"/>
        <v>0</v>
      </c>
      <c r="V53" s="148">
        <f t="shared" si="15"/>
        <v>0</v>
      </c>
      <c r="W53" s="148">
        <f t="shared" si="15"/>
        <v>0</v>
      </c>
      <c r="X53" s="148">
        <f t="shared" si="15"/>
        <v>0</v>
      </c>
      <c r="Y53" s="148">
        <f t="shared" si="15"/>
        <v>0</v>
      </c>
      <c r="Z53" s="148">
        <f t="shared" si="15"/>
        <v>0</v>
      </c>
    </row>
    <row r="54" spans="12:26">
      <c r="L54" s="148" t="s">
        <v>43</v>
      </c>
      <c r="M54" s="149"/>
      <c r="N54" s="149"/>
      <c r="O54" s="148">
        <f t="shared" si="15"/>
        <v>75</v>
      </c>
      <c r="P54" s="148">
        <f t="shared" si="15"/>
        <v>162.5</v>
      </c>
      <c r="Q54" s="148">
        <f t="shared" si="15"/>
        <v>175</v>
      </c>
      <c r="R54" s="148">
        <f t="shared" si="15"/>
        <v>0</v>
      </c>
      <c r="S54" s="148">
        <f t="shared" si="15"/>
        <v>0</v>
      </c>
      <c r="T54" s="148">
        <f t="shared" si="15"/>
        <v>0</v>
      </c>
      <c r="U54" s="148">
        <f t="shared" si="15"/>
        <v>0</v>
      </c>
      <c r="V54" s="148">
        <f t="shared" si="15"/>
        <v>125</v>
      </c>
      <c r="W54" s="148">
        <f t="shared" si="15"/>
        <v>0</v>
      </c>
      <c r="X54" s="148">
        <f t="shared" si="15"/>
        <v>0</v>
      </c>
      <c r="Y54" s="148">
        <f t="shared" si="15"/>
        <v>0</v>
      </c>
      <c r="Z54" s="148">
        <f t="shared" si="15"/>
        <v>0</v>
      </c>
    </row>
    <row r="55" spans="12:26">
      <c r="M55" s="150">
        <v>2642.5</v>
      </c>
    </row>
  </sheetData>
  <mergeCells count="4">
    <mergeCell ref="Y2:Z2"/>
    <mergeCell ref="AB2:AD2"/>
    <mergeCell ref="AF2:AI2"/>
    <mergeCell ref="AK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Solar 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Narwa</dc:creator>
  <cp:lastModifiedBy>Satwik Narwa</cp:lastModifiedBy>
  <dcterms:created xsi:type="dcterms:W3CDTF">2026-01-05T06:11:35Z</dcterms:created>
  <dcterms:modified xsi:type="dcterms:W3CDTF">2026-01-05T06:22:31Z</dcterms:modified>
</cp:coreProperties>
</file>