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wi\Downloads\"/>
    </mc:Choice>
  </mc:AlternateContent>
  <xr:revisionPtr revIDLastSave="0" documentId="8_{46893F7A-A42A-47BE-A46F-78F4C5E837AA}" xr6:coauthVersionLast="47" xr6:coauthVersionMax="47" xr10:uidLastSave="{00000000-0000-0000-0000-000000000000}"/>
  <bookViews>
    <workbookView xWindow="-108" yWindow="-108" windowWidth="23256" windowHeight="13176" xr2:uid="{0ED8FB4F-D5B8-4F20-85B8-C9D0C1A5ACAF}"/>
  </bookViews>
  <sheets>
    <sheet name="KH Wind Internal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9" i="1" l="1"/>
  <c r="J59" i="1"/>
  <c r="U51" i="1"/>
  <c r="U58" i="1" s="1"/>
  <c r="T51" i="1"/>
  <c r="T58" i="1" s="1"/>
  <c r="S51" i="1"/>
  <c r="R51" i="1"/>
  <c r="Q51" i="1"/>
  <c r="P51" i="1"/>
  <c r="O51" i="1"/>
  <c r="N51" i="1"/>
  <c r="M51" i="1"/>
  <c r="L51" i="1"/>
  <c r="K51" i="1"/>
  <c r="K58" i="1" s="1"/>
  <c r="J51" i="1"/>
  <c r="P50" i="1"/>
  <c r="K50" i="1"/>
  <c r="K56" i="1" s="1"/>
  <c r="AB49" i="1"/>
  <c r="AA49" i="1" s="1"/>
  <c r="T49" i="1"/>
  <c r="S49" i="1"/>
  <c r="R49" i="1"/>
  <c r="Q49" i="1"/>
  <c r="O49" i="1"/>
  <c r="N49" i="1"/>
  <c r="M49" i="1"/>
  <c r="L49" i="1"/>
  <c r="K49" i="1"/>
  <c r="K57" i="1" s="1"/>
  <c r="J49" i="1"/>
  <c r="J57" i="1" s="1"/>
  <c r="I49" i="1"/>
  <c r="H45" i="1"/>
  <c r="W43" i="1"/>
  <c r="O42" i="1"/>
  <c r="L40" i="1"/>
  <c r="J40" i="1"/>
  <c r="Q39" i="1"/>
  <c r="Q40" i="1" s="1"/>
  <c r="P39" i="1"/>
  <c r="P40" i="1" s="1"/>
  <c r="O39" i="1"/>
  <c r="O40" i="1" s="1"/>
  <c r="N39" i="1"/>
  <c r="N40" i="1" s="1"/>
  <c r="L39" i="1"/>
  <c r="L42" i="1" s="1"/>
  <c r="K39" i="1"/>
  <c r="K67" i="1" s="1"/>
  <c r="J39" i="1"/>
  <c r="J67" i="1" s="1"/>
  <c r="I39" i="1"/>
  <c r="I40" i="1" s="1"/>
  <c r="E39" i="1"/>
  <c r="Z38" i="1"/>
  <c r="AD38" i="1" s="1"/>
  <c r="AC38" i="1" s="1"/>
  <c r="X38" i="1"/>
  <c r="W38" i="1"/>
  <c r="U38" i="1"/>
  <c r="T38" i="1"/>
  <c r="S38" i="1"/>
  <c r="F38" i="1"/>
  <c r="E38" i="1"/>
  <c r="AD37" i="1"/>
  <c r="AC37" i="1" s="1"/>
  <c r="Z37" i="1"/>
  <c r="Y37" i="1" s="1"/>
  <c r="U37" i="1"/>
  <c r="T37" i="1"/>
  <c r="X37" i="1" s="1"/>
  <c r="W37" i="1" s="1"/>
  <c r="F37" i="1"/>
  <c r="E37" i="1"/>
  <c r="AD36" i="1"/>
  <c r="AC36" i="1" s="1"/>
  <c r="Z36" i="1"/>
  <c r="Y36" i="1"/>
  <c r="X36" i="1"/>
  <c r="W36" i="1" s="1"/>
  <c r="T36" i="1"/>
  <c r="S36" i="1"/>
  <c r="AE36" i="1" s="1"/>
  <c r="AF36" i="1" s="1"/>
  <c r="F36" i="1"/>
  <c r="E36" i="1"/>
  <c r="AD35" i="1"/>
  <c r="AC35" i="1" s="1"/>
  <c r="Z35" i="1"/>
  <c r="Y35" i="1" s="1"/>
  <c r="T35" i="1"/>
  <c r="S35" i="1"/>
  <c r="S50" i="1" s="1"/>
  <c r="R35" i="1"/>
  <c r="R50" i="1" s="1"/>
  <c r="H35" i="1"/>
  <c r="F35" i="1"/>
  <c r="E35" i="1"/>
  <c r="Z34" i="1"/>
  <c r="Y34" i="1" s="1"/>
  <c r="U34" i="1"/>
  <c r="U39" i="1" s="1"/>
  <c r="R34" i="1"/>
  <c r="Q34" i="1"/>
  <c r="P34" i="1"/>
  <c r="P49" i="1" s="1"/>
  <c r="F34" i="1"/>
  <c r="E34" i="1"/>
  <c r="AD33" i="1"/>
  <c r="AC33" i="1" s="1"/>
  <c r="Z33" i="1"/>
  <c r="Y33" i="1"/>
  <c r="X33" i="1"/>
  <c r="W33" i="1" s="1"/>
  <c r="S33" i="1"/>
  <c r="R33" i="1"/>
  <c r="AE33" i="1" s="1"/>
  <c r="AF33" i="1" s="1"/>
  <c r="E33" i="1"/>
  <c r="AD32" i="1"/>
  <c r="AC32" i="1"/>
  <c r="Z32" i="1"/>
  <c r="Y32" i="1" s="1"/>
  <c r="T32" i="1"/>
  <c r="T39" i="1" s="1"/>
  <c r="S32" i="1"/>
  <c r="S39" i="1" s="1"/>
  <c r="R32" i="1"/>
  <c r="X32" i="1" s="1"/>
  <c r="W32" i="1" s="1"/>
  <c r="H32" i="1"/>
  <c r="F32" i="1"/>
  <c r="E32" i="1"/>
  <c r="Z31" i="1"/>
  <c r="AD31" i="1" s="1"/>
  <c r="AC31" i="1" s="1"/>
  <c r="Y31" i="1"/>
  <c r="X31" i="1"/>
  <c r="W31" i="1" s="1"/>
  <c r="AE31" i="1" s="1"/>
  <c r="AF31" i="1" s="1"/>
  <c r="M31" i="1"/>
  <c r="M39" i="1" s="1"/>
  <c r="H31" i="1"/>
  <c r="F31" i="1"/>
  <c r="F40" i="1" s="1"/>
  <c r="E31" i="1"/>
  <c r="U25" i="1"/>
  <c r="U59" i="1" s="1"/>
  <c r="T25" i="1"/>
  <c r="T59" i="1" s="1"/>
  <c r="S25" i="1"/>
  <c r="S59" i="1" s="1"/>
  <c r="R25" i="1"/>
  <c r="Q25" i="1"/>
  <c r="P25" i="1"/>
  <c r="O25" i="1"/>
  <c r="N25" i="1"/>
  <c r="M25" i="1"/>
  <c r="I25" i="1"/>
  <c r="I59" i="1" s="1"/>
  <c r="U24" i="1"/>
  <c r="T24" i="1"/>
  <c r="S24" i="1"/>
  <c r="R24" i="1"/>
  <c r="Q24" i="1"/>
  <c r="P24" i="1"/>
  <c r="O24" i="1"/>
  <c r="N24" i="1"/>
  <c r="M24" i="1"/>
  <c r="U23" i="1"/>
  <c r="T23" i="1"/>
  <c r="T57" i="1" s="1"/>
  <c r="S23" i="1"/>
  <c r="S57" i="1" s="1"/>
  <c r="R23" i="1"/>
  <c r="Q23" i="1"/>
  <c r="P23" i="1"/>
  <c r="O23" i="1"/>
  <c r="N23" i="1"/>
  <c r="M23" i="1"/>
  <c r="I23" i="1"/>
  <c r="T22" i="1"/>
  <c r="T26" i="1" s="1"/>
  <c r="S22" i="1"/>
  <c r="S26" i="1" s="1"/>
  <c r="R22" i="1"/>
  <c r="R26" i="1" s="1"/>
  <c r="Q22" i="1"/>
  <c r="Q26" i="1" s="1"/>
  <c r="P22" i="1"/>
  <c r="P26" i="1" s="1"/>
  <c r="O22" i="1"/>
  <c r="O26" i="1" s="1"/>
  <c r="N22" i="1"/>
  <c r="N26" i="1" s="1"/>
  <c r="M22" i="1"/>
  <c r="M26" i="1" s="1"/>
  <c r="AK20" i="1"/>
  <c r="AL19" i="1"/>
  <c r="R19" i="1"/>
  <c r="AL18" i="1"/>
  <c r="T18" i="1"/>
  <c r="R18" i="1"/>
  <c r="Q18" i="1"/>
  <c r="Q19" i="1" s="1"/>
  <c r="P18" i="1"/>
  <c r="P19" i="1" s="1"/>
  <c r="O18" i="1"/>
  <c r="O19" i="1" s="1"/>
  <c r="I18" i="1"/>
  <c r="I19" i="1" s="1"/>
  <c r="AL17" i="1"/>
  <c r="AL20" i="1" s="1"/>
  <c r="AA17" i="1"/>
  <c r="Z17" i="1"/>
  <c r="AD17" i="1" s="1"/>
  <c r="AC17" i="1" s="1"/>
  <c r="Y17" i="1"/>
  <c r="X17" i="1"/>
  <c r="W17" i="1" s="1"/>
  <c r="M17" i="1"/>
  <c r="F17" i="1"/>
  <c r="E17" i="1"/>
  <c r="AF17" i="1" s="1"/>
  <c r="AL16" i="1"/>
  <c r="AA16" i="1"/>
  <c r="Q16" i="1"/>
  <c r="N16" i="1"/>
  <c r="AF16" i="1" s="1"/>
  <c r="F16" i="1"/>
  <c r="E16" i="1"/>
  <c r="AA15" i="1"/>
  <c r="Z15" i="1"/>
  <c r="AD15" i="1" s="1"/>
  <c r="AC15" i="1" s="1"/>
  <c r="Y15" i="1"/>
  <c r="X15" i="1"/>
  <c r="W15" i="1" s="1"/>
  <c r="S15" i="1"/>
  <c r="S18" i="1" s="1"/>
  <c r="Q15" i="1"/>
  <c r="Q50" i="1" s="1"/>
  <c r="O15" i="1"/>
  <c r="O50" i="1" s="1"/>
  <c r="E15" i="1"/>
  <c r="AF15" i="1" s="1"/>
  <c r="AA14" i="1"/>
  <c r="U14" i="1"/>
  <c r="U18" i="1" s="1"/>
  <c r="M14" i="1"/>
  <c r="M18" i="1" s="1"/>
  <c r="M19" i="1" s="1"/>
  <c r="L14" i="1"/>
  <c r="Z14" i="1" s="1"/>
  <c r="E14" i="1"/>
  <c r="F14" i="1" s="1"/>
  <c r="AB13" i="1"/>
  <c r="AA13" i="1" s="1"/>
  <c r="Z13" i="1"/>
  <c r="Y13" i="1" s="1"/>
  <c r="X13" i="1"/>
  <c r="W13" i="1" s="1"/>
  <c r="I13" i="1"/>
  <c r="E13" i="1"/>
  <c r="F13" i="1" s="1"/>
  <c r="AA12" i="1"/>
  <c r="X12" i="1"/>
  <c r="W12" i="1"/>
  <c r="L12" i="1"/>
  <c r="AF12" i="1" s="1"/>
  <c r="J12" i="1"/>
  <c r="Z12" i="1" s="1"/>
  <c r="E12" i="1"/>
  <c r="F12" i="1" s="1"/>
  <c r="AB11" i="1"/>
  <c r="AA11" i="1" s="1"/>
  <c r="Z11" i="1"/>
  <c r="Y11" i="1" s="1"/>
  <c r="X11" i="1"/>
  <c r="W11" i="1" s="1"/>
  <c r="I11" i="1"/>
  <c r="E11" i="1"/>
  <c r="AF11" i="1" s="1"/>
  <c r="AF10" i="1"/>
  <c r="AB10" i="1"/>
  <c r="AA10" i="1" s="1"/>
  <c r="X10" i="1"/>
  <c r="W10" i="1" s="1"/>
  <c r="L10" i="1"/>
  <c r="L18" i="1" s="1"/>
  <c r="L19" i="1" s="1"/>
  <c r="K10" i="1"/>
  <c r="K18" i="1" s="1"/>
  <c r="I10" i="1"/>
  <c r="I51" i="1" s="1"/>
  <c r="F10" i="1"/>
  <c r="E10" i="1"/>
  <c r="AB9" i="1"/>
  <c r="AA9" i="1" s="1"/>
  <c r="J9" i="1"/>
  <c r="J50" i="1" s="1"/>
  <c r="I9" i="1"/>
  <c r="F9" i="1"/>
  <c r="E9" i="1"/>
  <c r="AB8" i="1"/>
  <c r="AB50" i="1" s="1"/>
  <c r="AA8" i="1"/>
  <c r="Z8" i="1"/>
  <c r="Y8" i="1" s="1"/>
  <c r="X8" i="1"/>
  <c r="W8" i="1"/>
  <c r="I8" i="1"/>
  <c r="E8" i="1"/>
  <c r="AF8" i="1" s="1"/>
  <c r="AG7" i="1"/>
  <c r="AF7" i="1"/>
  <c r="AD7" i="1"/>
  <c r="AC7" i="1" s="1"/>
  <c r="AB7" i="1"/>
  <c r="AB18" i="1" s="1"/>
  <c r="AA7" i="1"/>
  <c r="Z7" i="1"/>
  <c r="Y7" i="1"/>
  <c r="X7" i="1"/>
  <c r="W7" i="1" s="1"/>
  <c r="I7" i="1"/>
  <c r="I50" i="1" s="1"/>
  <c r="E7" i="1"/>
  <c r="E18" i="1" s="1"/>
  <c r="AF6" i="1"/>
  <c r="AA6" i="1"/>
  <c r="Z6" i="1"/>
  <c r="Y6" i="1" s="1"/>
  <c r="X6" i="1"/>
  <c r="W6" i="1"/>
  <c r="F6" i="1"/>
  <c r="AF5" i="1"/>
  <c r="AD5" i="1"/>
  <c r="AC5" i="1"/>
  <c r="AA5" i="1"/>
  <c r="Z5" i="1"/>
  <c r="Y5" i="1" s="1"/>
  <c r="X5" i="1"/>
  <c r="W5" i="1"/>
  <c r="F5" i="1"/>
  <c r="I57" i="1" l="1"/>
  <c r="S58" i="1"/>
  <c r="O52" i="1"/>
  <c r="K52" i="1"/>
  <c r="Q52" i="1"/>
  <c r="Z51" i="1"/>
  <c r="Y51" i="1" s="1"/>
  <c r="K68" i="1"/>
  <c r="K19" i="1"/>
  <c r="O44" i="1"/>
  <c r="I52" i="1"/>
  <c r="R52" i="1"/>
  <c r="M42" i="1"/>
  <c r="M40" i="1"/>
  <c r="M44" i="1" s="1"/>
  <c r="Z39" i="1"/>
  <c r="S40" i="1"/>
  <c r="S67" i="1"/>
  <c r="S42" i="1"/>
  <c r="P44" i="1"/>
  <c r="S52" i="1"/>
  <c r="AA50" i="1"/>
  <c r="U68" i="1"/>
  <c r="U19" i="1"/>
  <c r="Z49" i="1"/>
  <c r="P52" i="1"/>
  <c r="T42" i="1"/>
  <c r="T40" i="1"/>
  <c r="T67" i="1"/>
  <c r="U42" i="1"/>
  <c r="U40" i="1"/>
  <c r="U44" i="1" s="1"/>
  <c r="U67" i="1"/>
  <c r="E42" i="1"/>
  <c r="Q44" i="1"/>
  <c r="I44" i="1"/>
  <c r="AB42" i="1"/>
  <c r="AA42" i="1" s="1"/>
  <c r="AA18" i="1"/>
  <c r="S68" i="1"/>
  <c r="S19" i="1"/>
  <c r="T68" i="1"/>
  <c r="L44" i="1"/>
  <c r="J56" i="1"/>
  <c r="AD12" i="1"/>
  <c r="AC12" i="1" s="1"/>
  <c r="Y12" i="1"/>
  <c r="AD14" i="1"/>
  <c r="AC14" i="1" s="1"/>
  <c r="Y14" i="1"/>
  <c r="K60" i="1"/>
  <c r="K62" i="1" s="1"/>
  <c r="AB51" i="1"/>
  <c r="F11" i="1"/>
  <c r="J18" i="1"/>
  <c r="AD6" i="1"/>
  <c r="AC6" i="1" s="1"/>
  <c r="F8" i="1"/>
  <c r="X9" i="1"/>
  <c r="W9" i="1" s="1"/>
  <c r="Z10" i="1"/>
  <c r="AD11" i="1"/>
  <c r="AC11" i="1" s="1"/>
  <c r="AD13" i="1"/>
  <c r="AC13" i="1" s="1"/>
  <c r="X14" i="1"/>
  <c r="W14" i="1" s="1"/>
  <c r="F15" i="1"/>
  <c r="T19" i="1"/>
  <c r="AE32" i="1"/>
  <c r="AF32" i="1" s="1"/>
  <c r="AD34" i="1"/>
  <c r="AC34" i="1" s="1"/>
  <c r="Y38" i="1"/>
  <c r="AE38" i="1" s="1"/>
  <c r="AF38" i="1" s="1"/>
  <c r="R39" i="1"/>
  <c r="P42" i="1"/>
  <c r="L50" i="1"/>
  <c r="L52" i="1" s="1"/>
  <c r="T50" i="1"/>
  <c r="T52" i="1" s="1"/>
  <c r="U22" i="1"/>
  <c r="AE37" i="1"/>
  <c r="AF37" i="1" s="1"/>
  <c r="AD8" i="1"/>
  <c r="AC8" i="1" s="1"/>
  <c r="AF13" i="1"/>
  <c r="X16" i="1"/>
  <c r="W16" i="1" s="1"/>
  <c r="I24" i="1"/>
  <c r="I58" i="1" s="1"/>
  <c r="AE34" i="1"/>
  <c r="AF34" i="1" s="1"/>
  <c r="I42" i="1"/>
  <c r="Q42" i="1"/>
  <c r="M50" i="1"/>
  <c r="M52" i="1" s="1"/>
  <c r="U50" i="1"/>
  <c r="S56" i="1"/>
  <c r="S60" i="1" s="1"/>
  <c r="S62" i="1" s="1"/>
  <c r="S64" i="1" s="1"/>
  <c r="AF14" i="1"/>
  <c r="AF9" i="1"/>
  <c r="Z9" i="1"/>
  <c r="X35" i="1"/>
  <c r="W35" i="1" s="1"/>
  <c r="AE35" i="1" s="1"/>
  <c r="AF35" i="1" s="1"/>
  <c r="U49" i="1"/>
  <c r="N50" i="1"/>
  <c r="N52" i="1" s="1"/>
  <c r="X51" i="1"/>
  <c r="W51" i="1" s="1"/>
  <c r="J52" i="1"/>
  <c r="F7" i="1"/>
  <c r="F19" i="1" s="1"/>
  <c r="F44" i="1" s="1"/>
  <c r="Z16" i="1"/>
  <c r="N18" i="1"/>
  <c r="K42" i="1"/>
  <c r="J58" i="1"/>
  <c r="I27" i="1"/>
  <c r="X34" i="1"/>
  <c r="W34" i="1" s="1"/>
  <c r="I22" i="1"/>
  <c r="X39" i="1"/>
  <c r="K40" i="1"/>
  <c r="K44" i="1" s="1"/>
  <c r="U52" i="1" l="1"/>
  <c r="T44" i="1"/>
  <c r="W39" i="1"/>
  <c r="X18" i="1"/>
  <c r="W18" i="1" s="1"/>
  <c r="J19" i="1"/>
  <c r="J44" i="1" s="1"/>
  <c r="J45" i="1" s="1"/>
  <c r="J42" i="1"/>
  <c r="J43" i="1" s="1"/>
  <c r="Z18" i="1"/>
  <c r="J68" i="1"/>
  <c r="I26" i="1"/>
  <c r="I56" i="1"/>
  <c r="I60" i="1" s="1"/>
  <c r="I62" i="1" s="1"/>
  <c r="AD9" i="1"/>
  <c r="AC9" i="1" s="1"/>
  <c r="Y9" i="1"/>
  <c r="J60" i="1"/>
  <c r="J62" i="1" s="1"/>
  <c r="J64" i="1" s="1"/>
  <c r="U57" i="1"/>
  <c r="X50" i="1"/>
  <c r="W50" i="1" s="1"/>
  <c r="T63" i="1"/>
  <c r="K64" i="1"/>
  <c r="T65" i="1" s="1"/>
  <c r="Z50" i="1"/>
  <c r="Y49" i="1"/>
  <c r="AD49" i="1"/>
  <c r="AC49" i="1" s="1"/>
  <c r="U56" i="1"/>
  <c r="U26" i="1"/>
  <c r="N19" i="1"/>
  <c r="N44" i="1" s="1"/>
  <c r="M45" i="1" s="1"/>
  <c r="N42" i="1"/>
  <c r="M43" i="1" s="1"/>
  <c r="AA51" i="1"/>
  <c r="AD51" i="1"/>
  <c r="AC51" i="1" s="1"/>
  <c r="T56" i="1"/>
  <c r="T60" i="1" s="1"/>
  <c r="T62" i="1" s="1"/>
  <c r="T64" i="1" s="1"/>
  <c r="R40" i="1"/>
  <c r="R44" i="1" s="1"/>
  <c r="P45" i="1" s="1"/>
  <c r="R42" i="1"/>
  <c r="P43" i="1" s="1"/>
  <c r="AD10" i="1"/>
  <c r="AC10" i="1" s="1"/>
  <c r="Y10" i="1"/>
  <c r="AB52" i="1"/>
  <c r="S44" i="1"/>
  <c r="S45" i="1" s="1"/>
  <c r="Y16" i="1"/>
  <c r="AD16" i="1"/>
  <c r="AC16" i="1" s="1"/>
  <c r="X49" i="1"/>
  <c r="W49" i="1" s="1"/>
  <c r="S43" i="1"/>
  <c r="Z52" i="1"/>
  <c r="X52" i="1"/>
  <c r="Z42" i="1"/>
  <c r="Y42" i="1" s="1"/>
  <c r="AD39" i="1"/>
  <c r="Y39" i="1"/>
  <c r="U60" i="1" l="1"/>
  <c r="U62" i="1" s="1"/>
  <c r="U64" i="1" s="1"/>
  <c r="I64" i="1"/>
  <c r="J65" i="1" s="1"/>
  <c r="J63" i="1"/>
  <c r="AD52" i="1"/>
  <c r="AC52" i="1" s="1"/>
  <c r="AA52" i="1"/>
  <c r="D51" i="1"/>
  <c r="Y52" i="1"/>
  <c r="C51" i="1" s="1"/>
  <c r="Y18" i="1"/>
  <c r="AD18" i="1"/>
  <c r="AC18" i="1" s="1"/>
  <c r="W52" i="1"/>
  <c r="D50" i="1"/>
  <c r="AC39" i="1"/>
  <c r="Y50" i="1"/>
  <c r="AD50" i="1"/>
  <c r="AC50" i="1" s="1"/>
  <c r="X42" i="1"/>
  <c r="W42" i="1" s="1"/>
  <c r="AD42" i="1" l="1"/>
  <c r="AC42" i="1" s="1"/>
  <c r="C50" i="1"/>
</calcChain>
</file>

<file path=xl/sharedStrings.xml><?xml version="1.0" encoding="utf-8"?>
<sst xmlns="http://schemas.openxmlformats.org/spreadsheetml/2006/main" count="226" uniqueCount="72">
  <si>
    <t>FY 2025-26 | Khavda Wind Projects Monthly Commissioning Plan (MWac) (Phase-02 Carry forward)</t>
  </si>
  <si>
    <t>For Internal Purpose</t>
  </si>
  <si>
    <t>Date : 08-Dec-25</t>
  </si>
  <si>
    <t>Sl.</t>
  </si>
  <si>
    <t>Project</t>
  </si>
  <si>
    <t>SPV</t>
  </si>
  <si>
    <t>Category</t>
  </si>
  <si>
    <t>Total Capacity
(MW)</t>
  </si>
  <si>
    <t>Total WTG Nos.</t>
  </si>
  <si>
    <t>PSS No.</t>
  </si>
  <si>
    <t>PSS
Charging Date</t>
  </si>
  <si>
    <t>Till
Mar-25</t>
  </si>
  <si>
    <t>FY 25-26 Total (Plan)</t>
  </si>
  <si>
    <t>FY 25-26 Commissioned till Nov-25</t>
  </si>
  <si>
    <t>FY 24-25 Commissioned</t>
  </si>
  <si>
    <t>Total Commissioned till Nov-25</t>
  </si>
  <si>
    <t>WTG</t>
  </si>
  <si>
    <t>MW</t>
  </si>
  <si>
    <t>Hybrid Port (Wind)</t>
  </si>
  <si>
    <t>APSEZ</t>
  </si>
  <si>
    <t>Group</t>
  </si>
  <si>
    <t>PSS-3</t>
  </si>
  <si>
    <t>Charged</t>
  </si>
  <si>
    <t>AGEL Merchant (Wind)</t>
  </si>
  <si>
    <t>ARE41L</t>
  </si>
  <si>
    <t>Merchant</t>
  </si>
  <si>
    <t>AGEL Hybrid Merchant (Wind)</t>
  </si>
  <si>
    <r>
      <rPr>
        <strike/>
        <sz val="10"/>
        <color theme="1"/>
        <rFont val="Adani Regular"/>
      </rPr>
      <t xml:space="preserve">ARE48L </t>
    </r>
    <r>
      <rPr>
        <sz val="10"/>
        <color theme="1"/>
        <rFont val="Adani Regular"/>
      </rPr>
      <t>AGE25BL</t>
    </r>
  </si>
  <si>
    <t>PSS-09</t>
  </si>
  <si>
    <t>PSS-13</t>
  </si>
  <si>
    <t>AGE24L</t>
  </si>
  <si>
    <t>PSS-04</t>
  </si>
  <si>
    <t>Hybrid Cement (Wind)</t>
  </si>
  <si>
    <t>ACL</t>
  </si>
  <si>
    <t>AHEJ5L</t>
  </si>
  <si>
    <t>AESL PPA (C&amp;I) - Wind - RSWM</t>
  </si>
  <si>
    <t>AGE26BL</t>
  </si>
  <si>
    <t>PSS-10</t>
  </si>
  <si>
    <t>PSS-08</t>
  </si>
  <si>
    <t>PSS</t>
  </si>
  <si>
    <t>WTGs</t>
  </si>
  <si>
    <t>Google Hybrid (Wind)</t>
  </si>
  <si>
    <t>ARE3L</t>
  </si>
  <si>
    <t xml:space="preserve"> Monthwise FY 24-25 Projects (A)  - Total (MW)</t>
  </si>
  <si>
    <t>ASEJ6PL</t>
  </si>
  <si>
    <t>Total (No of WTG's)</t>
  </si>
  <si>
    <t>AHEJ5L (PPA)</t>
  </si>
  <si>
    <t>PSS-05</t>
  </si>
  <si>
    <t>Total</t>
  </si>
  <si>
    <t>Till Dec-24</t>
  </si>
  <si>
    <t>PPA</t>
  </si>
  <si>
    <t>EPC</t>
  </si>
  <si>
    <t>FY 2025-26 | Khavda Wind Projects Monthly Commissioning Plan (MWac) (Phase-03)</t>
  </si>
  <si>
    <t>nnd--2</t>
  </si>
  <si>
    <t>NA</t>
  </si>
  <si>
    <t>AGE25BL</t>
  </si>
  <si>
    <t>SECI H-3 (Wind)</t>
  </si>
  <si>
    <t>AGE25CL</t>
  </si>
  <si>
    <t>PSS-11</t>
  </si>
  <si>
    <t>AGE26AL</t>
  </si>
  <si>
    <t>PSS-12</t>
  </si>
  <si>
    <t>PSS-14</t>
  </si>
  <si>
    <t xml:space="preserve"> Monthwise FY 25-26 Projects (B)  - Total (MW)</t>
  </si>
  <si>
    <t xml:space="preserve"> Monthwise FY 25-26 Projects (B)  - Total (WTGs)</t>
  </si>
  <si>
    <t xml:space="preserve"> Monthwise FY 24-26 Projects (A+B)  - Total (MW)</t>
  </si>
  <si>
    <t xml:space="preserve"> Monthwise FY 24-26 Projects (A+B)  - Total (WTGs)</t>
  </si>
  <si>
    <t>Note : WTG Commissioning of PSS-11 &amp; 12 is linked with PSS charging.</t>
  </si>
  <si>
    <t>Overall Status</t>
  </si>
  <si>
    <t>Total Plan</t>
  </si>
  <si>
    <t>Total Actual</t>
  </si>
  <si>
    <t>FY 2024-26 | Khavda Wind Projects Monthly Commissioning Plan (MWac)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</si>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</sst>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4">
    <font>
      <sz val="11"/>
      <color theme="1"/>
      <name val="Calibri"/>
      <family val="2"/>
      <scheme val="minor"/>
    </font>
    <font>
      <b/>
      <sz val="14"/>
      <name val="Adani Regular"/>
      <family val="2"/>
    </font>
    <font>
      <b/>
      <sz val="12"/>
      <color rgb="FFFF0000"/>
      <name val="Adani Regular"/>
    </font>
    <font>
      <sz val="12"/>
      <name val="Adani Regular"/>
    </font>
    <font>
      <b/>
      <sz val="10"/>
      <color theme="0"/>
      <name val="Adani Regular"/>
      <family val="2"/>
    </font>
    <font>
      <b/>
      <sz val="10"/>
      <color theme="0"/>
      <name val="Adani Regular"/>
    </font>
    <font>
      <sz val="10"/>
      <color rgb="FF00B050"/>
      <name val="Adani Regular"/>
      <family val="2"/>
    </font>
    <font>
      <sz val="10"/>
      <color rgb="FF00B050"/>
      <name val="Adani Regular"/>
    </font>
    <font>
      <sz val="10"/>
      <color theme="1"/>
      <name val="Adani Regular"/>
    </font>
    <font>
      <strike/>
      <sz val="10"/>
      <color theme="1"/>
      <name val="Adani Regular"/>
    </font>
    <font>
      <sz val="10"/>
      <color theme="1"/>
      <name val="Adani Regular"/>
      <family val="2"/>
    </font>
    <font>
      <sz val="10"/>
      <name val="Adani Regular"/>
      <family val="2"/>
    </font>
    <font>
      <b/>
      <sz val="10"/>
      <color theme="1"/>
      <name val="Adani Regular"/>
    </font>
    <font>
      <b/>
      <sz val="10"/>
      <color theme="1"/>
      <name val="Adani Regular"/>
      <family val="2"/>
    </font>
    <font>
      <b/>
      <sz val="10"/>
      <color rgb="FF00B050"/>
      <name val="Adani Regular"/>
      <family val="2"/>
    </font>
    <font>
      <b/>
      <sz val="10"/>
      <color rgb="FF00B050"/>
      <name val="Adani Regular"/>
    </font>
    <font>
      <b/>
      <sz val="10"/>
      <name val="Adani Regular"/>
      <family val="2"/>
    </font>
    <font>
      <sz val="10"/>
      <color rgb="FFFF0000"/>
      <name val="Adani Regular"/>
      <family val="2"/>
    </font>
    <font>
      <b/>
      <sz val="14"/>
      <name val="Adani Regular"/>
    </font>
    <font>
      <sz val="10"/>
      <name val="Adani Regular"/>
    </font>
    <font>
      <sz val="10"/>
      <color rgb="FF00B0F0"/>
      <name val="Adani Regular"/>
      <family val="2"/>
    </font>
    <font>
      <sz val="10"/>
      <color rgb="FF0070C0"/>
      <name val="Adani Regular"/>
      <family val="2"/>
    </font>
    <font>
      <b/>
      <sz val="10"/>
      <name val="Adani Regular"/>
    </font>
    <font>
      <i/>
      <sz val="10"/>
      <color theme="1"/>
      <name val="Adani Regula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hair">
        <color indexed="64"/>
      </top>
      <bottom style="hair">
        <color indexed="64"/>
      </bottom>
      <diagonal/>
    </border>
    <border>
      <left/>
      <right style="thin">
        <color theme="0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theme="0"/>
      </left>
      <right/>
      <top style="hair">
        <color indexed="64"/>
      </top>
      <bottom/>
      <diagonal/>
    </border>
    <border>
      <left style="thin">
        <color theme="0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250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/>
    </xf>
    <xf numFmtId="15" fontId="0" fillId="0" borderId="0" xfId="0" applyNumberForma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7" fontId="5" fillId="2" borderId="8" xfId="0" applyNumberFormat="1" applyFont="1" applyFill="1" applyBorder="1" applyAlignment="1">
      <alignment horizontal="center" vertical="center" wrapText="1"/>
    </xf>
    <xf numFmtId="17" fontId="5" fillId="2" borderId="7" xfId="0" applyNumberFormat="1" applyFont="1" applyFill="1" applyBorder="1" applyAlignment="1">
      <alignment horizontal="center" vertical="center" wrapText="1"/>
    </xf>
    <xf numFmtId="17" fontId="5" fillId="0" borderId="9" xfId="0" applyNumberFormat="1" applyFont="1" applyBorder="1" applyAlignment="1">
      <alignment horizontal="center" vertical="center" wrapText="1"/>
    </xf>
    <xf numFmtId="17" fontId="5" fillId="2" borderId="10" xfId="0" applyNumberFormat="1" applyFont="1" applyFill="1" applyBorder="1" applyAlignment="1">
      <alignment horizontal="center" vertical="center" wrapText="1"/>
    </xf>
    <xf numFmtId="17" fontId="5" fillId="2" borderId="11" xfId="0" applyNumberFormat="1" applyFont="1" applyFill="1" applyBorder="1" applyAlignment="1">
      <alignment horizontal="center" vertical="center" wrapText="1"/>
    </xf>
    <xf numFmtId="17" fontId="5" fillId="2" borderId="12" xfId="0" applyNumberFormat="1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17" fontId="5" fillId="0" borderId="15" xfId="0" applyNumberFormat="1" applyFont="1" applyBorder="1" applyAlignment="1">
      <alignment horizontal="center" vertical="center" wrapText="1"/>
    </xf>
    <xf numFmtId="17" fontId="5" fillId="2" borderId="14" xfId="0" applyNumberFormat="1" applyFont="1" applyFill="1" applyBorder="1" applyAlignment="1">
      <alignment horizontal="center" vertical="center" wrapText="1"/>
    </xf>
    <xf numFmtId="17" fontId="5" fillId="0" borderId="0" xfId="0" applyNumberFormat="1" applyFont="1" applyAlignment="1">
      <alignment horizontal="center" vertical="center" wrapText="1"/>
    </xf>
    <xf numFmtId="17" fontId="5" fillId="2" borderId="16" xfId="0" applyNumberFormat="1" applyFont="1" applyFill="1" applyBorder="1" applyAlignment="1">
      <alignment horizontal="center" vertical="center" wrapText="1"/>
    </xf>
    <xf numFmtId="17" fontId="5" fillId="2" borderId="17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center" vertical="center"/>
    </xf>
    <xf numFmtId="15" fontId="0" fillId="0" borderId="19" xfId="0" applyNumberForma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1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24" xfId="0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0" fillId="0" borderId="19" xfId="1" applyBorder="1" applyAlignment="1">
      <alignment vertical="center"/>
    </xf>
    <xf numFmtId="0" fontId="6" fillId="0" borderId="19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10" fillId="0" borderId="19" xfId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2" fillId="0" borderId="25" xfId="0" applyFont="1" applyBorder="1" applyAlignment="1">
      <alignment vertical="center"/>
    </xf>
    <xf numFmtId="0" fontId="12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4" xfId="0" applyBorder="1" applyAlignment="1">
      <alignment vertical="center"/>
    </xf>
    <xf numFmtId="15" fontId="0" fillId="0" borderId="24" xfId="0" applyNumberForma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10" fillId="0" borderId="28" xfId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8" fillId="0" borderId="29" xfId="0" applyFont="1" applyBorder="1" applyAlignment="1">
      <alignment horizontal="left" vertical="center"/>
    </xf>
    <xf numFmtId="0" fontId="8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right" vertical="center"/>
    </xf>
    <xf numFmtId="0" fontId="13" fillId="0" borderId="25" xfId="0" applyFont="1" applyBorder="1" applyAlignment="1">
      <alignment horizontal="right" vertical="center"/>
    </xf>
    <xf numFmtId="0" fontId="13" fillId="0" borderId="25" xfId="0" applyFont="1" applyBorder="1" applyAlignment="1">
      <alignment horizontal="center" vertical="center"/>
    </xf>
    <xf numFmtId="15" fontId="13" fillId="0" borderId="25" xfId="0" applyNumberFormat="1" applyFont="1" applyBorder="1" applyAlignment="1">
      <alignment horizontal="center" vertical="center"/>
    </xf>
    <xf numFmtId="1" fontId="14" fillId="0" borderId="25" xfId="0" applyNumberFormat="1" applyFont="1" applyBorder="1" applyAlignment="1">
      <alignment horizontal="center" vertical="center"/>
    </xf>
    <xf numFmtId="1" fontId="13" fillId="0" borderId="25" xfId="0" applyNumberFormat="1" applyFont="1" applyBorder="1" applyAlignment="1">
      <alignment horizontal="center" vertical="center"/>
    </xf>
    <xf numFmtId="1" fontId="13" fillId="0" borderId="20" xfId="0" applyNumberFormat="1" applyFont="1" applyBorder="1" applyAlignment="1">
      <alignment horizontal="center" vertical="center"/>
    </xf>
    <xf numFmtId="0" fontId="12" fillId="4" borderId="28" xfId="0" applyFont="1" applyFill="1" applyBorder="1" applyAlignment="1">
      <alignment horizontal="center" vertical="center"/>
    </xf>
    <xf numFmtId="1" fontId="12" fillId="4" borderId="28" xfId="0" applyNumberFormat="1" applyFont="1" applyFill="1" applyBorder="1" applyAlignment="1">
      <alignment horizontal="center" vertical="center"/>
    </xf>
    <xf numFmtId="0" fontId="15" fillId="4" borderId="28" xfId="0" applyFont="1" applyFill="1" applyBorder="1" applyAlignment="1">
      <alignment horizontal="center" vertical="center"/>
    </xf>
    <xf numFmtId="1" fontId="15" fillId="4" borderId="28" xfId="0" applyNumberFormat="1" applyFont="1" applyFill="1" applyBorder="1" applyAlignment="1">
      <alignment horizontal="center" vertical="center"/>
    </xf>
    <xf numFmtId="1" fontId="15" fillId="4" borderId="3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32" xfId="0" applyFont="1" applyBorder="1" applyAlignment="1">
      <alignment horizontal="right" vertical="center"/>
    </xf>
    <xf numFmtId="0" fontId="13" fillId="0" borderId="33" xfId="0" applyFont="1" applyBorder="1" applyAlignment="1">
      <alignment horizontal="right" vertical="center"/>
    </xf>
    <xf numFmtId="0" fontId="13" fillId="5" borderId="33" xfId="0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15" fontId="13" fillId="5" borderId="33" xfId="0" applyNumberFormat="1" applyFont="1" applyFill="1" applyBorder="1" applyAlignment="1">
      <alignment horizontal="center" vertical="center"/>
    </xf>
    <xf numFmtId="1" fontId="14" fillId="0" borderId="33" xfId="0" applyNumberFormat="1" applyFont="1" applyBorder="1" applyAlignment="1">
      <alignment horizontal="center" vertical="center"/>
    </xf>
    <xf numFmtId="1" fontId="13" fillId="0" borderId="33" xfId="0" applyNumberFormat="1" applyFont="1" applyBorder="1" applyAlignment="1">
      <alignment horizontal="center" vertical="center"/>
    </xf>
    <xf numFmtId="1" fontId="13" fillId="0" borderId="34" xfId="0" applyNumberFormat="1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left" vertical="center"/>
    </xf>
    <xf numFmtId="0" fontId="8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center"/>
    </xf>
    <xf numFmtId="0" fontId="12" fillId="0" borderId="25" xfId="0" applyFont="1" applyBorder="1" applyAlignment="1">
      <alignment horizontal="center" vertical="center"/>
    </xf>
    <xf numFmtId="0" fontId="0" fillId="0" borderId="39" xfId="0" applyBorder="1"/>
    <xf numFmtId="0" fontId="4" fillId="2" borderId="41" xfId="0" applyFont="1" applyFill="1" applyBorder="1" applyAlignment="1">
      <alignment horizontal="center" vertical="center" wrapText="1"/>
    </xf>
    <xf numFmtId="17" fontId="4" fillId="2" borderId="42" xfId="0" applyNumberFormat="1" applyFont="1" applyFill="1" applyBorder="1" applyAlignment="1">
      <alignment horizontal="center" vertical="center" wrapText="1"/>
    </xf>
    <xf numFmtId="17" fontId="4" fillId="2" borderId="43" xfId="0" applyNumberFormat="1" applyFont="1" applyFill="1" applyBorder="1" applyAlignment="1">
      <alignment horizontal="center" vertical="center" wrapText="1"/>
    </xf>
    <xf numFmtId="17" fontId="4" fillId="0" borderId="40" xfId="0" applyNumberFormat="1" applyFont="1" applyBorder="1" applyAlignment="1">
      <alignment horizontal="center" vertical="center" wrapText="1"/>
    </xf>
    <xf numFmtId="17" fontId="4" fillId="2" borderId="4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44" xfId="0" applyFont="1" applyBorder="1" applyAlignment="1">
      <alignment vertical="center"/>
    </xf>
    <xf numFmtId="1" fontId="0" fillId="0" borderId="45" xfId="0" applyNumberFormat="1" applyBorder="1" applyAlignment="1">
      <alignment horizontal="center" vertical="center"/>
    </xf>
    <xf numFmtId="1" fontId="0" fillId="0" borderId="46" xfId="0" applyNumberFormat="1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0" fontId="12" fillId="0" borderId="47" xfId="0" applyFont="1" applyBorder="1" applyAlignment="1">
      <alignment vertical="center"/>
    </xf>
    <xf numFmtId="1" fontId="0" fillId="0" borderId="48" xfId="0" applyNumberFormat="1" applyBorder="1" applyAlignment="1">
      <alignment horizontal="center" vertical="center"/>
    </xf>
    <xf numFmtId="1" fontId="0" fillId="0" borderId="49" xfId="0" applyNumberFormat="1" applyBorder="1" applyAlignment="1">
      <alignment horizontal="center" vertical="center"/>
    </xf>
    <xf numFmtId="0" fontId="12" fillId="0" borderId="50" xfId="0" applyFont="1" applyBorder="1" applyAlignment="1">
      <alignment vertical="center"/>
    </xf>
    <xf numFmtId="1" fontId="0" fillId="0" borderId="51" xfId="0" applyNumberFormat="1" applyBorder="1" applyAlignment="1">
      <alignment horizontal="center" vertical="center"/>
    </xf>
    <xf numFmtId="1" fontId="17" fillId="0" borderId="51" xfId="0" applyNumberFormat="1" applyFont="1" applyBorder="1" applyAlignment="1">
      <alignment horizontal="center" vertical="center"/>
    </xf>
    <xf numFmtId="1" fontId="0" fillId="0" borderId="52" xfId="0" applyNumberForma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0" borderId="54" xfId="0" applyNumberFormat="1" applyFont="1" applyBorder="1" applyAlignment="1">
      <alignment horizontal="center" vertical="center"/>
    </xf>
    <xf numFmtId="1" fontId="12" fillId="0" borderId="40" xfId="0" applyNumberFormat="1" applyFont="1" applyBorder="1" applyAlignment="1">
      <alignment horizontal="center" vertical="center"/>
    </xf>
    <xf numFmtId="4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0" borderId="40" xfId="0" applyBorder="1"/>
    <xf numFmtId="164" fontId="0" fillId="0" borderId="0" xfId="0" applyNumberFormat="1"/>
    <xf numFmtId="0" fontId="18" fillId="0" borderId="55" xfId="0" applyFont="1" applyBorder="1" applyAlignment="1">
      <alignment horizontal="left" vertical="center"/>
    </xf>
    <xf numFmtId="0" fontId="18" fillId="0" borderId="56" xfId="0" applyFont="1" applyBorder="1" applyAlignment="1">
      <alignment horizontal="left" vertical="center"/>
    </xf>
    <xf numFmtId="0" fontId="18" fillId="0" borderId="57" xfId="0" applyFont="1" applyBorder="1" applyAlignment="1">
      <alignment horizontal="left" vertical="center"/>
    </xf>
    <xf numFmtId="0" fontId="0" fillId="0" borderId="58" xfId="0" applyBorder="1" applyAlignment="1">
      <alignment horizontal="center" vertical="center"/>
    </xf>
    <xf numFmtId="0" fontId="6" fillId="0" borderId="58" xfId="1" applyFont="1" applyBorder="1" applyAlignment="1">
      <alignment horizontal="center" vertical="center"/>
    </xf>
    <xf numFmtId="0" fontId="10" fillId="0" borderId="58" xfId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17" fontId="5" fillId="0" borderId="19" xfId="1" applyNumberFormat="1" applyFont="1" applyBorder="1" applyAlignment="1">
      <alignment horizontal="center" vertical="center" wrapText="1"/>
    </xf>
    <xf numFmtId="0" fontId="0" fillId="0" borderId="19" xfId="1" applyFont="1" applyBorder="1" applyAlignment="1">
      <alignment horizontal="center" vertical="center"/>
    </xf>
    <xf numFmtId="0" fontId="0" fillId="0" borderId="20" xfId="1" applyFont="1" applyBorder="1" applyAlignment="1">
      <alignment horizontal="center" vertical="center"/>
    </xf>
    <xf numFmtId="0" fontId="0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8" xfId="0" applyBorder="1" applyAlignment="1">
      <alignment vertical="center"/>
    </xf>
    <xf numFmtId="15" fontId="20" fillId="0" borderId="58" xfId="0" applyNumberFormat="1" applyFont="1" applyBorder="1" applyAlignment="1">
      <alignment horizontal="center" vertical="center"/>
    </xf>
    <xf numFmtId="0" fontId="8" fillId="0" borderId="58" xfId="1" applyFont="1" applyBorder="1" applyAlignment="1">
      <alignment horizontal="center" vertical="center"/>
    </xf>
    <xf numFmtId="0" fontId="0" fillId="0" borderId="58" xfId="1" applyFont="1" applyBorder="1" applyAlignment="1">
      <alignment horizontal="center" vertical="center"/>
    </xf>
    <xf numFmtId="0" fontId="19" fillId="0" borderId="19" xfId="1" applyFont="1" applyBorder="1" applyAlignment="1">
      <alignment horizontal="center" vertical="center"/>
    </xf>
    <xf numFmtId="15" fontId="0" fillId="0" borderId="58" xfId="0" applyNumberFormat="1" applyBorder="1" applyAlignment="1">
      <alignment horizontal="center" vertical="center"/>
    </xf>
    <xf numFmtId="0" fontId="10" fillId="0" borderId="20" xfId="1" applyBorder="1" applyAlignment="1">
      <alignment horizontal="center" vertical="center"/>
    </xf>
    <xf numFmtId="15" fontId="11" fillId="0" borderId="19" xfId="0" applyNumberFormat="1" applyFont="1" applyBorder="1" applyAlignment="1">
      <alignment horizontal="center" vertical="center"/>
    </xf>
    <xf numFmtId="15" fontId="21" fillId="0" borderId="19" xfId="0" applyNumberFormat="1" applyFont="1" applyBorder="1" applyAlignment="1">
      <alignment horizontal="center" vertical="center"/>
    </xf>
    <xf numFmtId="165" fontId="19" fillId="0" borderId="19" xfId="1" applyNumberFormat="1" applyFont="1" applyBorder="1" applyAlignment="1">
      <alignment horizontal="center" vertical="center" wrapText="1"/>
    </xf>
    <xf numFmtId="165" fontId="19" fillId="0" borderId="19" xfId="1" applyNumberFormat="1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5" fontId="21" fillId="0" borderId="24" xfId="0" applyNumberFormat="1" applyFont="1" applyBorder="1" applyAlignment="1">
      <alignment horizontal="center" vertical="center"/>
    </xf>
    <xf numFmtId="0" fontId="10" fillId="0" borderId="24" xfId="1" applyBorder="1" applyAlignment="1">
      <alignment horizontal="center" vertical="center"/>
    </xf>
    <xf numFmtId="165" fontId="19" fillId="0" borderId="24" xfId="1" applyNumberFormat="1" applyFont="1" applyBorder="1" applyAlignment="1">
      <alignment horizontal="center" vertical="center" wrapText="1"/>
    </xf>
    <xf numFmtId="0" fontId="10" fillId="0" borderId="60" xfId="1" applyBorder="1" applyAlignment="1">
      <alignment horizontal="center" vertical="center"/>
    </xf>
    <xf numFmtId="0" fontId="13" fillId="0" borderId="61" xfId="1" applyFont="1" applyBorder="1" applyAlignment="1">
      <alignment horizontal="right" vertical="center"/>
    </xf>
    <xf numFmtId="0" fontId="13" fillId="0" borderId="21" xfId="1" applyFont="1" applyBorder="1" applyAlignment="1">
      <alignment horizontal="right" vertical="center"/>
    </xf>
    <xf numFmtId="0" fontId="13" fillId="0" borderId="21" xfId="1" applyFont="1" applyBorder="1" applyAlignment="1">
      <alignment horizontal="center" vertical="center"/>
    </xf>
    <xf numFmtId="15" fontId="12" fillId="0" borderId="21" xfId="0" applyNumberFormat="1" applyFont="1" applyBorder="1" applyAlignment="1">
      <alignment horizontal="center" vertical="center"/>
    </xf>
    <xf numFmtId="1" fontId="14" fillId="0" borderId="21" xfId="1" applyNumberFormat="1" applyFont="1" applyBorder="1" applyAlignment="1">
      <alignment horizontal="center" vertical="center"/>
    </xf>
    <xf numFmtId="1" fontId="13" fillId="0" borderId="21" xfId="1" applyNumberFormat="1" applyFont="1" applyBorder="1" applyAlignment="1">
      <alignment horizontal="center" vertical="center"/>
    </xf>
    <xf numFmtId="0" fontId="13" fillId="0" borderId="20" xfId="1" applyFont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1" fontId="12" fillId="4" borderId="19" xfId="1" applyNumberFormat="1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1" fontId="15" fillId="4" borderId="19" xfId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2" fillId="4" borderId="19" xfId="1" applyFont="1" applyFill="1" applyBorder="1" applyAlignment="1">
      <alignment horizontal="center" vertical="center"/>
    </xf>
    <xf numFmtId="1" fontId="15" fillId="4" borderId="23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8" xfId="1" applyFont="1" applyBorder="1" applyAlignment="1">
      <alignment horizontal="right" vertical="center"/>
    </xf>
    <xf numFmtId="0" fontId="13" fillId="0" borderId="19" xfId="1" applyFont="1" applyBorder="1" applyAlignment="1">
      <alignment horizontal="right" vertical="center"/>
    </xf>
    <xf numFmtId="0" fontId="13" fillId="5" borderId="19" xfId="1" applyFont="1" applyFill="1" applyBorder="1" applyAlignment="1">
      <alignment horizontal="center" vertical="center"/>
    </xf>
    <xf numFmtId="0" fontId="16" fillId="0" borderId="19" xfId="1" applyFont="1" applyBorder="1" applyAlignment="1">
      <alignment horizontal="center" vertical="center"/>
    </xf>
    <xf numFmtId="15" fontId="0" fillId="0" borderId="19" xfId="0" applyNumberFormat="1" applyBorder="1"/>
    <xf numFmtId="1" fontId="14" fillId="0" borderId="19" xfId="1" applyNumberFormat="1" applyFont="1" applyBorder="1" applyAlignment="1">
      <alignment horizontal="center" vertical="center"/>
    </xf>
    <xf numFmtId="1" fontId="13" fillId="0" borderId="19" xfId="1" applyNumberFormat="1" applyFont="1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13" fillId="0" borderId="39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40" xfId="1" applyFont="1" applyBorder="1" applyAlignment="1">
      <alignment horizontal="center" vertical="center"/>
    </xf>
    <xf numFmtId="0" fontId="13" fillId="5" borderId="19" xfId="1" applyFont="1" applyFill="1" applyBorder="1" applyAlignment="1">
      <alignment horizontal="center" vertical="center"/>
    </xf>
    <xf numFmtId="0" fontId="16" fillId="0" borderId="19" xfId="1" applyFont="1" applyBorder="1" applyAlignment="1">
      <alignment horizontal="center" vertical="center"/>
    </xf>
    <xf numFmtId="0" fontId="13" fillId="4" borderId="65" xfId="1" applyFont="1" applyFill="1" applyBorder="1" applyAlignment="1">
      <alignment horizontal="center" vertical="center"/>
    </xf>
    <xf numFmtId="1" fontId="13" fillId="4" borderId="65" xfId="1" applyNumberFormat="1" applyFont="1" applyFill="1" applyBorder="1" applyAlignment="1">
      <alignment horizontal="center" vertical="center"/>
    </xf>
    <xf numFmtId="0" fontId="14" fillId="4" borderId="65" xfId="1" applyFont="1" applyFill="1" applyBorder="1" applyAlignment="1">
      <alignment horizontal="center" vertical="center"/>
    </xf>
    <xf numFmtId="1" fontId="14" fillId="4" borderId="65" xfId="1" applyNumberFormat="1" applyFont="1" applyFill="1" applyBorder="1" applyAlignment="1">
      <alignment horizontal="center" vertical="center"/>
    </xf>
    <xf numFmtId="1" fontId="14" fillId="4" borderId="22" xfId="1" applyNumberFormat="1" applyFont="1" applyFill="1" applyBorder="1" applyAlignment="1">
      <alignment horizontal="center" vertical="center"/>
    </xf>
    <xf numFmtId="15" fontId="13" fillId="0" borderId="19" xfId="0" applyNumberFormat="1" applyFont="1" applyBorder="1" applyAlignment="1">
      <alignment horizontal="center" vertical="center"/>
    </xf>
    <xf numFmtId="1" fontId="14" fillId="0" borderId="19" xfId="1" applyNumberFormat="1" applyFont="1" applyBorder="1" applyAlignment="1">
      <alignment horizontal="center" vertical="center"/>
    </xf>
    <xf numFmtId="1" fontId="13" fillId="0" borderId="19" xfId="1" applyNumberFormat="1" applyFont="1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0" fontId="13" fillId="0" borderId="66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67" xfId="1" applyFont="1" applyBorder="1" applyAlignment="1">
      <alignment horizontal="right" vertical="center"/>
    </xf>
    <xf numFmtId="0" fontId="13" fillId="0" borderId="68" xfId="1" applyFont="1" applyBorder="1" applyAlignment="1">
      <alignment horizontal="right" vertical="center"/>
    </xf>
    <xf numFmtId="0" fontId="13" fillId="5" borderId="68" xfId="1" applyFont="1" applyFill="1" applyBorder="1" applyAlignment="1">
      <alignment horizontal="center" vertical="center"/>
    </xf>
    <xf numFmtId="0" fontId="16" fillId="0" borderId="68" xfId="1" applyFont="1" applyBorder="1" applyAlignment="1">
      <alignment horizontal="center" vertical="center"/>
    </xf>
    <xf numFmtId="0" fontId="13" fillId="0" borderId="68" xfId="0" applyFont="1" applyBorder="1" applyAlignment="1">
      <alignment horizontal="center" vertical="center"/>
    </xf>
    <xf numFmtId="1" fontId="14" fillId="0" borderId="68" xfId="1" applyNumberFormat="1" applyFont="1" applyBorder="1" applyAlignment="1">
      <alignment horizontal="center" vertical="center"/>
    </xf>
    <xf numFmtId="1" fontId="14" fillId="0" borderId="68" xfId="1" applyNumberFormat="1" applyFont="1" applyBorder="1" applyAlignment="1">
      <alignment horizontal="center" vertical="center"/>
    </xf>
    <xf numFmtId="1" fontId="13" fillId="0" borderId="68" xfId="1" applyNumberFormat="1" applyFont="1" applyBorder="1" applyAlignment="1">
      <alignment horizontal="center" vertical="center"/>
    </xf>
    <xf numFmtId="0" fontId="13" fillId="0" borderId="68" xfId="1" applyFont="1" applyBorder="1" applyAlignment="1">
      <alignment horizontal="center" vertical="center"/>
    </xf>
    <xf numFmtId="0" fontId="13" fillId="0" borderId="34" xfId="1" applyFont="1" applyBorder="1" applyAlignment="1">
      <alignment horizontal="center" vertical="center"/>
    </xf>
    <xf numFmtId="0" fontId="13" fillId="0" borderId="69" xfId="1" applyFont="1" applyBorder="1" applyAlignment="1">
      <alignment horizontal="center" vertical="center"/>
    </xf>
    <xf numFmtId="0" fontId="13" fillId="0" borderId="70" xfId="1" applyFont="1" applyBorder="1" applyAlignment="1">
      <alignment horizontal="center" vertical="center"/>
    </xf>
    <xf numFmtId="0" fontId="13" fillId="0" borderId="71" xfId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17" fontId="5" fillId="2" borderId="72" xfId="0" applyNumberFormat="1" applyFont="1" applyFill="1" applyBorder="1" applyAlignment="1">
      <alignment horizontal="center" vertical="center" wrapText="1"/>
    </xf>
    <xf numFmtId="17" fontId="5" fillId="2" borderId="73" xfId="0" applyNumberFormat="1" applyFont="1" applyFill="1" applyBorder="1" applyAlignment="1">
      <alignment horizontal="center" vertical="center" wrapText="1"/>
    </xf>
    <xf numFmtId="17" fontId="5" fillId="2" borderId="74" xfId="0" applyNumberFormat="1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vertical="center"/>
    </xf>
    <xf numFmtId="1" fontId="7" fillId="0" borderId="19" xfId="0" applyNumberFormat="1" applyFon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60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7" fillId="0" borderId="21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7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76" xfId="0" applyFont="1" applyBorder="1" applyAlignment="1">
      <alignment horizontal="center" vertical="center"/>
    </xf>
    <xf numFmtId="0" fontId="12" fillId="0" borderId="28" xfId="0" applyFont="1" applyBorder="1" applyAlignment="1">
      <alignment vertical="center"/>
    </xf>
    <xf numFmtId="1" fontId="15" fillId="0" borderId="28" xfId="0" applyNumberFormat="1" applyFont="1" applyBorder="1" applyAlignment="1">
      <alignment horizontal="center" vertical="center"/>
    </xf>
    <xf numFmtId="1" fontId="12" fillId="0" borderId="28" xfId="0" applyNumberFormat="1" applyFont="1" applyBorder="1" applyAlignment="1">
      <alignment horizontal="center" vertical="center"/>
    </xf>
    <xf numFmtId="1" fontId="12" fillId="0" borderId="60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1" fontId="12" fillId="0" borderId="0" xfId="0" applyNumberFormat="1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17" fontId="4" fillId="2" borderId="77" xfId="0" applyNumberFormat="1" applyFont="1" applyFill="1" applyBorder="1" applyAlignment="1">
      <alignment horizontal="center" vertical="center" wrapText="1"/>
    </xf>
    <xf numFmtId="17" fontId="4" fillId="0" borderId="0" xfId="0" applyNumberFormat="1" applyFont="1" applyAlignment="1">
      <alignment horizontal="center" vertical="center" wrapText="1"/>
    </xf>
    <xf numFmtId="17" fontId="4" fillId="2" borderId="0" xfId="0" applyNumberFormat="1" applyFont="1" applyFill="1" applyAlignment="1">
      <alignment horizontal="center" vertical="center" wrapText="1"/>
    </xf>
    <xf numFmtId="1" fontId="0" fillId="0" borderId="78" xfId="0" applyNumberFormat="1" applyBorder="1" applyAlignment="1">
      <alignment horizontal="center" vertical="center"/>
    </xf>
    <xf numFmtId="1" fontId="0" fillId="0" borderId="79" xfId="0" applyNumberFormat="1" applyBorder="1" applyAlignment="1">
      <alignment horizontal="center" vertical="center"/>
    </xf>
    <xf numFmtId="1" fontId="0" fillId="0" borderId="80" xfId="0" applyNumberFormat="1" applyBorder="1" applyAlignment="1">
      <alignment horizontal="center" vertical="center"/>
    </xf>
    <xf numFmtId="1" fontId="0" fillId="0" borderId="0" xfId="0" applyNumberFormat="1"/>
    <xf numFmtId="0" fontId="12" fillId="0" borderId="0" xfId="0" applyFont="1"/>
    <xf numFmtId="9" fontId="0" fillId="0" borderId="0" xfId="0" applyNumberFormat="1"/>
  </cellXfs>
  <cellStyles count="2">
    <cellStyle name="Normal" xfId="0" builtinId="0"/>
    <cellStyle name="Normal 4" xfId="1" xr:uid="{B7CE26C8-290D-4291-A718-0EA5F8DA9A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daniltd-my.sharepoint.com/personal/agel_documents_adani_com/Documents/AGEL%20Documentation/Project%20Services/Planning/3.%20Hybrid/2.%20Schedule/01.%20Khavda/02.%20FY%2025-26/1.%20BD%20Growth%20Plan/02b.%20AGEL%20FY%2025-26%20Internal%20Commissioning%20Actuals_01-Oct-25.xlsx" TargetMode="External"/><Relationship Id="rId2" Type="http://schemas.microsoft.com/office/2019/04/relationships/externalLinkLongPath" Target="https://adaniltd-my.sharepoint.com/personal/agel_documents_adani_com/Documents/AGEL%20Documentation/Project%20Services/Planning/3.%20Hybrid/2.%20Schedule/01.%20Khavda/02.%20FY%2025-26/1.%20BD%20Growth%20Plan/02b.%20AGEL%20FY%2025-26%20Internal%20Commissioning%20Actuals_01-Oct-25.xlsx?C74AEE90" TargetMode="External"/><Relationship Id="rId1" Type="http://schemas.openxmlformats.org/officeDocument/2006/relationships/externalLinkPath" Target="file:///\\C74AEE90\02b.%20AGEL%20FY%2025-26%20Internal%20Commissioning%20Actuals_01-Oct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ummary Linked"/>
      <sheetName val="PSS - Cap Adds - Updated 01-Sep"/>
      <sheetName val="FY 24-26 Khavda Solar "/>
      <sheetName val="FY 24-26 Khavda Wind"/>
      <sheetName val="FY 24-26 RJ Solar"/>
      <sheetName val="FY 25-26 Plan Wind (OS Khavda)"/>
    </sheetNames>
    <sheetDataSet>
      <sheetData sheetId="0" refreshError="1"/>
      <sheetData sheetId="1" refreshError="1"/>
      <sheetData sheetId="2" refreshError="1">
        <row r="31">
          <cell r="M31">
            <v>45900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87746-5742-4FA5-A7FE-2DF4C89FF926}">
  <dimension ref="A1:AL70"/>
  <sheetViews>
    <sheetView tabSelected="1" workbookViewId="0">
      <selection activeCell="J14" sqref="J14"/>
    </sheetView>
  </sheetViews>
  <sheetFormatPr defaultColWidth="9.109375" defaultRowHeight="14.4"/>
  <cols>
    <col min="1" max="1" width="4.88671875" customWidth="1"/>
    <col min="2" max="2" width="26.6640625" bestFit="1" customWidth="1"/>
    <col min="3" max="3" width="13.6640625" style="1" bestFit="1" customWidth="1"/>
    <col min="4" max="4" width="10.88671875" style="2" bestFit="1" customWidth="1"/>
    <col min="5" max="5" width="8.5546875" customWidth="1"/>
    <col min="6" max="6" width="6.6640625" customWidth="1"/>
    <col min="7" max="7" width="8.5546875" customWidth="1"/>
    <col min="8" max="8" width="9.44140625" style="3" hidden="1" customWidth="1"/>
    <col min="9" max="9" width="7.5546875" hidden="1" customWidth="1"/>
    <col min="10" max="19" width="7.44140625" customWidth="1"/>
    <col min="20" max="21" width="7.5546875" customWidth="1"/>
    <col min="22" max="22" width="1.6640625" customWidth="1"/>
    <col min="23" max="30" width="9.33203125" customWidth="1"/>
  </cols>
  <sheetData>
    <row r="1" spans="1:38" ht="12.75" customHeight="1" thickBot="1"/>
    <row r="2" spans="1:38" ht="24.75" customHeight="1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7" t="s">
        <v>1</v>
      </c>
      <c r="P2" s="8"/>
      <c r="Q2" s="8"/>
      <c r="R2" s="8"/>
      <c r="S2" s="8"/>
      <c r="T2" s="8"/>
      <c r="U2" s="9"/>
      <c r="V2" s="10"/>
      <c r="W2" s="11" t="s">
        <v>2</v>
      </c>
      <c r="X2" s="12"/>
      <c r="Y2" s="12"/>
      <c r="Z2" s="12"/>
      <c r="AA2" s="12"/>
      <c r="AB2" s="12"/>
      <c r="AC2" s="12"/>
      <c r="AD2" s="13"/>
    </row>
    <row r="3" spans="1:38" ht="34.5" customHeight="1">
      <c r="A3" s="14" t="s">
        <v>3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6" t="s">
        <v>10</v>
      </c>
      <c r="I3" s="17" t="s">
        <v>11</v>
      </c>
      <c r="J3" s="18">
        <v>45748</v>
      </c>
      <c r="K3" s="18">
        <v>45778</v>
      </c>
      <c r="L3" s="18">
        <v>45809</v>
      </c>
      <c r="M3" s="18">
        <v>45839</v>
      </c>
      <c r="N3" s="18">
        <v>45870</v>
      </c>
      <c r="O3" s="18">
        <v>45901</v>
      </c>
      <c r="P3" s="18">
        <v>45931</v>
      </c>
      <c r="Q3" s="18">
        <v>45962</v>
      </c>
      <c r="R3" s="18">
        <v>45992</v>
      </c>
      <c r="S3" s="18">
        <v>46023</v>
      </c>
      <c r="T3" s="18">
        <v>46054</v>
      </c>
      <c r="U3" s="18">
        <v>46082</v>
      </c>
      <c r="V3" s="19"/>
      <c r="W3" s="20" t="s">
        <v>12</v>
      </c>
      <c r="X3" s="21"/>
      <c r="Y3" s="20" t="s">
        <v>13</v>
      </c>
      <c r="Z3" s="21"/>
      <c r="AA3" s="20" t="s">
        <v>14</v>
      </c>
      <c r="AB3" s="21"/>
      <c r="AC3" s="20" t="s">
        <v>15</v>
      </c>
      <c r="AD3" s="22"/>
    </row>
    <row r="4" spans="1:38" ht="22.5" customHeight="1">
      <c r="A4" s="23"/>
      <c r="B4" s="24"/>
      <c r="C4" s="24"/>
      <c r="D4" s="24"/>
      <c r="E4" s="24"/>
      <c r="F4" s="24"/>
      <c r="G4" s="24"/>
      <c r="H4" s="25"/>
      <c r="I4" s="26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8"/>
      <c r="W4" s="29" t="s">
        <v>16</v>
      </c>
      <c r="X4" s="29" t="s">
        <v>17</v>
      </c>
      <c r="Y4" s="29" t="s">
        <v>16</v>
      </c>
      <c r="Z4" s="29" t="s">
        <v>17</v>
      </c>
      <c r="AA4" s="29" t="s">
        <v>16</v>
      </c>
      <c r="AB4" s="29" t="s">
        <v>17</v>
      </c>
      <c r="AC4" s="29" t="s">
        <v>16</v>
      </c>
      <c r="AD4" s="30" t="s">
        <v>17</v>
      </c>
    </row>
    <row r="5" spans="1:38" s="40" customFormat="1" ht="20.25" customHeight="1">
      <c r="A5" s="31">
        <v>1</v>
      </c>
      <c r="B5" s="32" t="s">
        <v>18</v>
      </c>
      <c r="C5" s="33" t="s">
        <v>19</v>
      </c>
      <c r="D5" s="33" t="s">
        <v>20</v>
      </c>
      <c r="E5" s="33">
        <v>20.8</v>
      </c>
      <c r="F5" s="33">
        <f>E5/5.2</f>
        <v>4</v>
      </c>
      <c r="G5" s="33" t="s">
        <v>21</v>
      </c>
      <c r="H5" s="34" t="s">
        <v>22</v>
      </c>
      <c r="I5" s="35">
        <v>20.8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6"/>
      <c r="W5" s="37">
        <f>+X5/5.2</f>
        <v>0</v>
      </c>
      <c r="X5" s="37">
        <f t="shared" ref="X5:X18" si="0">+SUM(J5:U5)</f>
        <v>0</v>
      </c>
      <c r="Y5" s="38">
        <f t="shared" ref="W5:Y17" si="1">+Z5/5.2</f>
        <v>0</v>
      </c>
      <c r="Z5" s="38">
        <f t="shared" ref="Z5:Z18" si="2">+SUM(J5:Q5)</f>
        <v>0</v>
      </c>
      <c r="AA5" s="38">
        <f t="shared" ref="AA5:AA17" si="3">+AB5/5.2</f>
        <v>4</v>
      </c>
      <c r="AB5" s="38">
        <v>20.8</v>
      </c>
      <c r="AC5" s="38">
        <f t="shared" ref="AC5:AC17" si="4">+AD5/5.2</f>
        <v>4</v>
      </c>
      <c r="AD5" s="39">
        <f>+AB5+Z5</f>
        <v>20.8</v>
      </c>
      <c r="AF5" s="40">
        <f t="shared" ref="AF5:AF17" si="5">E5-SUM(I5:U5)</f>
        <v>0</v>
      </c>
    </row>
    <row r="6" spans="1:38" s="40" customFormat="1" ht="20.25" customHeight="1">
      <c r="A6" s="31">
        <v>2</v>
      </c>
      <c r="B6" s="32" t="s">
        <v>23</v>
      </c>
      <c r="C6" s="33" t="s">
        <v>24</v>
      </c>
      <c r="D6" s="33" t="s">
        <v>25</v>
      </c>
      <c r="E6" s="33">
        <v>260</v>
      </c>
      <c r="F6" s="33">
        <f>E6/5.2</f>
        <v>50</v>
      </c>
      <c r="G6" s="33" t="s">
        <v>21</v>
      </c>
      <c r="H6" s="34" t="s">
        <v>22</v>
      </c>
      <c r="I6" s="35">
        <v>260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6"/>
      <c r="W6" s="33">
        <f t="shared" si="1"/>
        <v>0</v>
      </c>
      <c r="X6" s="33">
        <f t="shared" si="0"/>
        <v>0</v>
      </c>
      <c r="Y6" s="41">
        <f t="shared" si="1"/>
        <v>0</v>
      </c>
      <c r="Z6" s="41">
        <f t="shared" si="2"/>
        <v>0</v>
      </c>
      <c r="AA6" s="41">
        <f t="shared" si="3"/>
        <v>50</v>
      </c>
      <c r="AB6" s="41">
        <v>260</v>
      </c>
      <c r="AC6" s="41">
        <f t="shared" si="4"/>
        <v>50</v>
      </c>
      <c r="AD6" s="42">
        <f t="shared" ref="AD6:AD18" si="6">+AB6+Z6</f>
        <v>260</v>
      </c>
      <c r="AF6" s="40">
        <f t="shared" si="5"/>
        <v>0</v>
      </c>
    </row>
    <row r="7" spans="1:38" s="40" customFormat="1" ht="20.25" customHeight="1">
      <c r="A7" s="31">
        <v>3</v>
      </c>
      <c r="B7" s="32" t="s">
        <v>26</v>
      </c>
      <c r="C7" s="43" t="s">
        <v>27</v>
      </c>
      <c r="D7" s="33" t="s">
        <v>25</v>
      </c>
      <c r="E7" s="33">
        <f>23*5.2</f>
        <v>119.60000000000001</v>
      </c>
      <c r="F7" s="33">
        <f t="shared" ref="F7:F14" si="7">E7/5.2</f>
        <v>23</v>
      </c>
      <c r="G7" s="33" t="s">
        <v>28</v>
      </c>
      <c r="H7" s="34" t="s">
        <v>22</v>
      </c>
      <c r="I7" s="35">
        <f>23*5.2</f>
        <v>119.60000000000001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6"/>
      <c r="W7" s="33">
        <f t="shared" si="1"/>
        <v>0</v>
      </c>
      <c r="X7" s="33">
        <f t="shared" si="0"/>
        <v>0</v>
      </c>
      <c r="Y7" s="41">
        <f t="shared" si="1"/>
        <v>0</v>
      </c>
      <c r="Z7" s="41">
        <f t="shared" si="2"/>
        <v>0</v>
      </c>
      <c r="AA7" s="41">
        <f t="shared" si="3"/>
        <v>23</v>
      </c>
      <c r="AB7" s="41">
        <f>23*5.2</f>
        <v>119.60000000000001</v>
      </c>
      <c r="AC7" s="41">
        <f t="shared" si="4"/>
        <v>23</v>
      </c>
      <c r="AD7" s="42">
        <f t="shared" si="6"/>
        <v>119.60000000000001</v>
      </c>
      <c r="AF7" s="40">
        <f t="shared" si="5"/>
        <v>0</v>
      </c>
      <c r="AG7" s="40">
        <f>884+4345</f>
        <v>5229</v>
      </c>
    </row>
    <row r="8" spans="1:38" s="40" customFormat="1" ht="20.25" customHeight="1">
      <c r="A8" s="31">
        <v>4</v>
      </c>
      <c r="B8" s="32" t="s">
        <v>23</v>
      </c>
      <c r="C8" s="33" t="s">
        <v>24</v>
      </c>
      <c r="D8" s="33" t="s">
        <v>25</v>
      </c>
      <c r="E8" s="33">
        <f>24*5.2</f>
        <v>124.80000000000001</v>
      </c>
      <c r="F8" s="33">
        <f t="shared" si="7"/>
        <v>24</v>
      </c>
      <c r="G8" s="33" t="s">
        <v>29</v>
      </c>
      <c r="H8" s="34" t="s">
        <v>22</v>
      </c>
      <c r="I8" s="35">
        <f>24*5.2</f>
        <v>124.80000000000001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6"/>
      <c r="W8" s="33">
        <f t="shared" si="1"/>
        <v>0</v>
      </c>
      <c r="X8" s="33">
        <f t="shared" si="0"/>
        <v>0</v>
      </c>
      <c r="Y8" s="41">
        <f t="shared" si="1"/>
        <v>0</v>
      </c>
      <c r="Z8" s="41">
        <f t="shared" si="2"/>
        <v>0</v>
      </c>
      <c r="AA8" s="41">
        <f t="shared" si="3"/>
        <v>24</v>
      </c>
      <c r="AB8" s="41">
        <f>24*5.2</f>
        <v>124.80000000000001</v>
      </c>
      <c r="AC8" s="41">
        <f t="shared" si="4"/>
        <v>24</v>
      </c>
      <c r="AD8" s="42">
        <f t="shared" si="6"/>
        <v>124.80000000000001</v>
      </c>
      <c r="AF8" s="40">
        <f t="shared" si="5"/>
        <v>0</v>
      </c>
    </row>
    <row r="9" spans="1:38" s="40" customFormat="1" ht="20.25" customHeight="1">
      <c r="A9" s="31">
        <v>5</v>
      </c>
      <c r="B9" s="32" t="s">
        <v>23</v>
      </c>
      <c r="C9" s="33" t="s">
        <v>30</v>
      </c>
      <c r="D9" s="33" t="s">
        <v>25</v>
      </c>
      <c r="E9" s="33">
        <f>20*5.2</f>
        <v>104</v>
      </c>
      <c r="F9" s="33">
        <f t="shared" si="7"/>
        <v>20</v>
      </c>
      <c r="G9" s="33" t="s">
        <v>31</v>
      </c>
      <c r="H9" s="34" t="s">
        <v>22</v>
      </c>
      <c r="I9" s="35">
        <f>10*5.2</f>
        <v>52</v>
      </c>
      <c r="J9" s="35">
        <f>10*5.2</f>
        <v>52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6"/>
      <c r="W9" s="33">
        <f t="shared" si="1"/>
        <v>10</v>
      </c>
      <c r="X9" s="33">
        <f t="shared" si="0"/>
        <v>52</v>
      </c>
      <c r="Y9" s="41">
        <f t="shared" si="1"/>
        <v>10</v>
      </c>
      <c r="Z9" s="41">
        <f t="shared" si="2"/>
        <v>52</v>
      </c>
      <c r="AA9" s="41">
        <f t="shared" si="3"/>
        <v>10</v>
      </c>
      <c r="AB9" s="41">
        <f>10*5.2</f>
        <v>52</v>
      </c>
      <c r="AC9" s="41">
        <f t="shared" si="4"/>
        <v>20</v>
      </c>
      <c r="AD9" s="42">
        <f t="shared" si="6"/>
        <v>104</v>
      </c>
      <c r="AF9" s="40">
        <f t="shared" si="5"/>
        <v>0</v>
      </c>
      <c r="AG9" s="44">
        <v>4</v>
      </c>
    </row>
    <row r="10" spans="1:38" s="40" customFormat="1" ht="20.25" customHeight="1">
      <c r="A10" s="31">
        <v>6</v>
      </c>
      <c r="B10" s="32" t="s">
        <v>32</v>
      </c>
      <c r="C10" s="33" t="s">
        <v>33</v>
      </c>
      <c r="D10" s="33" t="s">
        <v>20</v>
      </c>
      <c r="E10" s="33">
        <f>30*5.2</f>
        <v>156</v>
      </c>
      <c r="F10" s="33">
        <f>E10/5.2</f>
        <v>30</v>
      </c>
      <c r="G10" s="33" t="s">
        <v>31</v>
      </c>
      <c r="H10" s="34" t="s">
        <v>22</v>
      </c>
      <c r="I10" s="35">
        <f>19*5.2</f>
        <v>98.8</v>
      </c>
      <c r="J10" s="33"/>
      <c r="K10" s="35">
        <f>5*5.2</f>
        <v>26</v>
      </c>
      <c r="L10" s="35">
        <f>6*5.2</f>
        <v>31.200000000000003</v>
      </c>
      <c r="M10" s="33"/>
      <c r="N10" s="33"/>
      <c r="O10" s="33"/>
      <c r="P10" s="33"/>
      <c r="Q10" s="33"/>
      <c r="R10" s="33"/>
      <c r="S10" s="33"/>
      <c r="T10" s="33"/>
      <c r="U10" s="33"/>
      <c r="V10" s="36"/>
      <c r="W10" s="33">
        <f t="shared" si="1"/>
        <v>11</v>
      </c>
      <c r="X10" s="33">
        <f t="shared" si="0"/>
        <v>57.2</v>
      </c>
      <c r="Y10" s="41">
        <f t="shared" si="1"/>
        <v>11</v>
      </c>
      <c r="Z10" s="41">
        <f t="shared" si="2"/>
        <v>57.2</v>
      </c>
      <c r="AA10" s="41">
        <f t="shared" si="3"/>
        <v>19</v>
      </c>
      <c r="AB10" s="41">
        <f>19*5.2</f>
        <v>98.8</v>
      </c>
      <c r="AC10" s="41">
        <f t="shared" si="4"/>
        <v>30</v>
      </c>
      <c r="AD10" s="42">
        <f t="shared" si="6"/>
        <v>156</v>
      </c>
      <c r="AF10" s="40">
        <f t="shared" si="5"/>
        <v>0</v>
      </c>
    </row>
    <row r="11" spans="1:38" s="40" customFormat="1" ht="20.25" customHeight="1">
      <c r="A11" s="31">
        <v>7</v>
      </c>
      <c r="B11" s="32" t="s">
        <v>18</v>
      </c>
      <c r="C11" s="33" t="s">
        <v>19</v>
      </c>
      <c r="D11" s="33" t="s">
        <v>20</v>
      </c>
      <c r="E11" s="33">
        <f>10*5.2</f>
        <v>52</v>
      </c>
      <c r="F11" s="33">
        <f>E11/5.2</f>
        <v>10</v>
      </c>
      <c r="G11" s="33" t="s">
        <v>31</v>
      </c>
      <c r="H11" s="34" t="s">
        <v>22</v>
      </c>
      <c r="I11" s="35">
        <f>10*5.2</f>
        <v>52</v>
      </c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6"/>
      <c r="W11" s="33">
        <f t="shared" si="1"/>
        <v>0</v>
      </c>
      <c r="X11" s="33">
        <f t="shared" si="0"/>
        <v>0</v>
      </c>
      <c r="Y11" s="41">
        <f t="shared" si="1"/>
        <v>0</v>
      </c>
      <c r="Z11" s="41">
        <f t="shared" si="2"/>
        <v>0</v>
      </c>
      <c r="AA11" s="41">
        <f t="shared" si="3"/>
        <v>10</v>
      </c>
      <c r="AB11" s="41">
        <f>10*5.2</f>
        <v>52</v>
      </c>
      <c r="AC11" s="41">
        <f t="shared" si="4"/>
        <v>10</v>
      </c>
      <c r="AD11" s="42">
        <f t="shared" si="6"/>
        <v>52</v>
      </c>
      <c r="AF11" s="40">
        <f t="shared" si="5"/>
        <v>0</v>
      </c>
    </row>
    <row r="12" spans="1:38" s="40" customFormat="1" ht="20.25" customHeight="1">
      <c r="A12" s="31">
        <v>8</v>
      </c>
      <c r="B12" s="32" t="s">
        <v>23</v>
      </c>
      <c r="C12" s="33" t="s">
        <v>34</v>
      </c>
      <c r="D12" s="33" t="s">
        <v>25</v>
      </c>
      <c r="E12" s="33">
        <f>12*5.2</f>
        <v>62.400000000000006</v>
      </c>
      <c r="F12" s="33">
        <f t="shared" si="7"/>
        <v>12</v>
      </c>
      <c r="G12" s="33" t="s">
        <v>31</v>
      </c>
      <c r="H12" s="34" t="s">
        <v>22</v>
      </c>
      <c r="I12" s="35"/>
      <c r="J12" s="35">
        <f>10*5.2</f>
        <v>52</v>
      </c>
      <c r="K12" s="33"/>
      <c r="L12" s="35">
        <f>2*5.2</f>
        <v>10.4</v>
      </c>
      <c r="M12" s="33"/>
      <c r="N12" s="33"/>
      <c r="O12" s="33"/>
      <c r="P12" s="33"/>
      <c r="Q12" s="33"/>
      <c r="R12" s="33"/>
      <c r="S12" s="33"/>
      <c r="T12" s="33"/>
      <c r="U12" s="33"/>
      <c r="V12" s="36"/>
      <c r="W12" s="33">
        <f t="shared" si="1"/>
        <v>12</v>
      </c>
      <c r="X12" s="33">
        <f t="shared" si="0"/>
        <v>62.4</v>
      </c>
      <c r="Y12" s="41">
        <f t="shared" si="1"/>
        <v>12</v>
      </c>
      <c r="Z12" s="41">
        <f t="shared" si="2"/>
        <v>62.4</v>
      </c>
      <c r="AA12" s="41">
        <f t="shared" si="3"/>
        <v>0</v>
      </c>
      <c r="AB12" s="41"/>
      <c r="AC12" s="41">
        <f t="shared" si="4"/>
        <v>12</v>
      </c>
      <c r="AD12" s="42">
        <f t="shared" si="6"/>
        <v>62.4</v>
      </c>
      <c r="AF12" s="40">
        <f t="shared" si="5"/>
        <v>0</v>
      </c>
      <c r="AG12" s="44">
        <v>2.4</v>
      </c>
    </row>
    <row r="13" spans="1:38" s="40" customFormat="1" ht="20.25" customHeight="1">
      <c r="A13" s="31">
        <v>9</v>
      </c>
      <c r="B13" s="32" t="s">
        <v>35</v>
      </c>
      <c r="C13" s="33" t="s">
        <v>24</v>
      </c>
      <c r="D13" s="33" t="s">
        <v>25</v>
      </c>
      <c r="E13" s="33">
        <f>10*5.2</f>
        <v>52</v>
      </c>
      <c r="F13" s="33">
        <f t="shared" si="7"/>
        <v>10</v>
      </c>
      <c r="G13" s="33" t="s">
        <v>31</v>
      </c>
      <c r="H13" s="34" t="s">
        <v>22</v>
      </c>
      <c r="I13" s="35">
        <f>10*5.2</f>
        <v>52</v>
      </c>
      <c r="J13" s="33"/>
      <c r="K13" s="33"/>
      <c r="L13" s="33"/>
      <c r="M13" s="33"/>
      <c r="N13" s="33"/>
      <c r="O13" s="33"/>
      <c r="P13" s="45"/>
      <c r="Q13" s="45"/>
      <c r="R13" s="45"/>
      <c r="S13" s="45"/>
      <c r="T13" s="33"/>
      <c r="U13" s="33"/>
      <c r="V13" s="36"/>
      <c r="W13" s="33">
        <f t="shared" si="1"/>
        <v>0</v>
      </c>
      <c r="X13" s="33">
        <f t="shared" si="0"/>
        <v>0</v>
      </c>
      <c r="Y13" s="41">
        <f t="shared" si="1"/>
        <v>0</v>
      </c>
      <c r="Z13" s="41">
        <f t="shared" si="2"/>
        <v>0</v>
      </c>
      <c r="AA13" s="41">
        <f t="shared" si="3"/>
        <v>10</v>
      </c>
      <c r="AB13" s="41">
        <f>10*5.2</f>
        <v>52</v>
      </c>
      <c r="AC13" s="41">
        <f t="shared" si="4"/>
        <v>10</v>
      </c>
      <c r="AD13" s="42">
        <f t="shared" si="6"/>
        <v>52</v>
      </c>
      <c r="AF13" s="40">
        <f t="shared" si="5"/>
        <v>0</v>
      </c>
    </row>
    <row r="14" spans="1:38" s="40" customFormat="1" ht="20.25" customHeight="1">
      <c r="A14" s="31">
        <v>10</v>
      </c>
      <c r="B14" s="32" t="s">
        <v>26</v>
      </c>
      <c r="C14" s="33" t="s">
        <v>36</v>
      </c>
      <c r="D14" s="33" t="s">
        <v>25</v>
      </c>
      <c r="E14" s="33">
        <f>30*5.2</f>
        <v>156</v>
      </c>
      <c r="F14" s="33">
        <f t="shared" si="7"/>
        <v>30</v>
      </c>
      <c r="G14" s="33" t="s">
        <v>37</v>
      </c>
      <c r="H14" s="34" t="s">
        <v>22</v>
      </c>
      <c r="I14" s="35"/>
      <c r="J14" s="33" t="s">
        <v>71</v>
      </c>
      <c r="K14" s="33"/>
      <c r="L14" s="35">
        <f>23*5.2</f>
        <v>119.60000000000001</v>
      </c>
      <c r="M14" s="35">
        <f>5*5.2</f>
        <v>26</v>
      </c>
      <c r="N14" s="46"/>
      <c r="O14" s="46"/>
      <c r="P14" s="47"/>
      <c r="Q14" s="48"/>
      <c r="R14" s="46"/>
      <c r="S14" s="46"/>
      <c r="T14" s="46"/>
      <c r="U14" s="46">
        <f>2*5.2</f>
        <v>10.4</v>
      </c>
      <c r="V14" s="49"/>
      <c r="W14" s="33">
        <f t="shared" si="1"/>
        <v>30.000000000000004</v>
      </c>
      <c r="X14" s="46">
        <f t="shared" si="0"/>
        <v>156.00000000000003</v>
      </c>
      <c r="Y14" s="41">
        <f t="shared" si="1"/>
        <v>28.000000000000004</v>
      </c>
      <c r="Z14" s="50">
        <f t="shared" si="2"/>
        <v>145.60000000000002</v>
      </c>
      <c r="AA14" s="41">
        <f t="shared" si="3"/>
        <v>0</v>
      </c>
      <c r="AB14" s="50"/>
      <c r="AC14" s="41">
        <f t="shared" si="4"/>
        <v>28.000000000000004</v>
      </c>
      <c r="AD14" s="42">
        <f t="shared" si="6"/>
        <v>145.60000000000002</v>
      </c>
      <c r="AF14" s="40">
        <f t="shared" si="5"/>
        <v>0</v>
      </c>
    </row>
    <row r="15" spans="1:38" s="40" customFormat="1" ht="20.25" customHeight="1">
      <c r="A15" s="31">
        <v>11</v>
      </c>
      <c r="B15" s="32" t="s">
        <v>23</v>
      </c>
      <c r="C15" s="33" t="s">
        <v>34</v>
      </c>
      <c r="D15" s="33" t="s">
        <v>25</v>
      </c>
      <c r="E15" s="33">
        <f>13*5.2</f>
        <v>67.600000000000009</v>
      </c>
      <c r="F15" s="33">
        <f>E15/5.2</f>
        <v>13.000000000000002</v>
      </c>
      <c r="G15" s="33" t="s">
        <v>38</v>
      </c>
      <c r="H15" s="34" t="s">
        <v>22</v>
      </c>
      <c r="I15" s="35"/>
      <c r="J15" s="33"/>
      <c r="K15" s="33"/>
      <c r="L15" s="33"/>
      <c r="M15" s="35"/>
      <c r="N15" s="46"/>
      <c r="O15" s="48">
        <f>6*5.2</f>
        <v>31.200000000000003</v>
      </c>
      <c r="P15" s="51"/>
      <c r="Q15" s="35">
        <f>6*5.2</f>
        <v>31.200000000000003</v>
      </c>
      <c r="R15" s="52"/>
      <c r="S15" s="52">
        <f>1*5.2</f>
        <v>5.2</v>
      </c>
      <c r="T15" s="33"/>
      <c r="U15" s="33"/>
      <c r="V15" s="36"/>
      <c r="W15" s="33">
        <f t="shared" si="1"/>
        <v>13.000000000000002</v>
      </c>
      <c r="X15" s="33">
        <f t="shared" si="0"/>
        <v>67.600000000000009</v>
      </c>
      <c r="Y15" s="41">
        <f t="shared" si="1"/>
        <v>12</v>
      </c>
      <c r="Z15" s="41">
        <f t="shared" si="2"/>
        <v>62.400000000000006</v>
      </c>
      <c r="AA15" s="41">
        <f t="shared" si="3"/>
        <v>0</v>
      </c>
      <c r="AB15" s="41"/>
      <c r="AC15" s="41">
        <f t="shared" si="4"/>
        <v>12</v>
      </c>
      <c r="AD15" s="42">
        <f t="shared" si="6"/>
        <v>62.400000000000006</v>
      </c>
      <c r="AF15" s="40">
        <f t="shared" si="5"/>
        <v>0</v>
      </c>
      <c r="AI15" s="53" t="s">
        <v>5</v>
      </c>
      <c r="AJ15" s="54" t="s">
        <v>39</v>
      </c>
      <c r="AK15" s="54" t="s">
        <v>40</v>
      </c>
      <c r="AL15" s="54" t="s">
        <v>17</v>
      </c>
    </row>
    <row r="16" spans="1:38" s="40" customFormat="1" ht="20.25" customHeight="1">
      <c r="A16" s="31">
        <v>12</v>
      </c>
      <c r="B16" s="32" t="s">
        <v>23</v>
      </c>
      <c r="C16" s="33" t="s">
        <v>24</v>
      </c>
      <c r="D16" s="33" t="s">
        <v>25</v>
      </c>
      <c r="E16" s="33">
        <f>25*5.2</f>
        <v>130</v>
      </c>
      <c r="F16" s="33">
        <f>E16/5.2</f>
        <v>25</v>
      </c>
      <c r="G16" s="33" t="s">
        <v>38</v>
      </c>
      <c r="H16" s="34" t="s">
        <v>22</v>
      </c>
      <c r="I16" s="35"/>
      <c r="J16" s="33"/>
      <c r="K16" s="33"/>
      <c r="L16" s="33"/>
      <c r="M16" s="35"/>
      <c r="N16" s="48">
        <f>24*5.2</f>
        <v>124.80000000000001</v>
      </c>
      <c r="O16" s="35"/>
      <c r="P16" s="52"/>
      <c r="Q16" s="35">
        <f>1*5.2</f>
        <v>5.2</v>
      </c>
      <c r="R16" s="51"/>
      <c r="S16" s="51"/>
      <c r="T16" s="33"/>
      <c r="U16" s="33"/>
      <c r="V16" s="36"/>
      <c r="W16" s="33">
        <f t="shared" si="1"/>
        <v>25</v>
      </c>
      <c r="X16" s="33">
        <f t="shared" si="0"/>
        <v>130</v>
      </c>
      <c r="Y16" s="41">
        <f t="shared" si="1"/>
        <v>25</v>
      </c>
      <c r="Z16" s="41">
        <f t="shared" si="2"/>
        <v>130</v>
      </c>
      <c r="AA16" s="41">
        <f t="shared" si="3"/>
        <v>0</v>
      </c>
      <c r="AB16" s="41"/>
      <c r="AC16" s="41">
        <f t="shared" si="4"/>
        <v>25</v>
      </c>
      <c r="AD16" s="42">
        <f t="shared" si="6"/>
        <v>130</v>
      </c>
      <c r="AF16" s="40">
        <f t="shared" si="5"/>
        <v>0</v>
      </c>
      <c r="AI16" s="55" t="s">
        <v>34</v>
      </c>
      <c r="AJ16" s="56" t="s">
        <v>38</v>
      </c>
      <c r="AK16" s="56">
        <v>7</v>
      </c>
      <c r="AL16" s="56">
        <f>AK16*5.2</f>
        <v>36.4</v>
      </c>
    </row>
    <row r="17" spans="1:38" s="40" customFormat="1" ht="20.25" customHeight="1">
      <c r="A17" s="57">
        <v>13</v>
      </c>
      <c r="B17" s="58" t="s">
        <v>41</v>
      </c>
      <c r="C17" s="45" t="s">
        <v>42</v>
      </c>
      <c r="D17" s="45" t="s">
        <v>25</v>
      </c>
      <c r="E17" s="45">
        <f>3*5.2</f>
        <v>15.600000000000001</v>
      </c>
      <c r="F17" s="45">
        <f t="shared" ref="F17" si="8">E17/5.2</f>
        <v>3</v>
      </c>
      <c r="G17" s="45" t="s">
        <v>38</v>
      </c>
      <c r="H17" s="59" t="s">
        <v>22</v>
      </c>
      <c r="I17" s="60"/>
      <c r="J17" s="45"/>
      <c r="K17" s="45"/>
      <c r="L17" s="45"/>
      <c r="M17" s="60">
        <f>3*5.2</f>
        <v>15.600000000000001</v>
      </c>
      <c r="N17" s="61"/>
      <c r="O17" s="62"/>
      <c r="P17" s="63"/>
      <c r="Q17" s="64"/>
      <c r="R17" s="63"/>
      <c r="S17" s="63"/>
      <c r="T17" s="45"/>
      <c r="U17" s="45"/>
      <c r="V17" s="36"/>
      <c r="W17" s="33">
        <f t="shared" si="1"/>
        <v>3</v>
      </c>
      <c r="X17" s="33">
        <f t="shared" si="0"/>
        <v>15.600000000000001</v>
      </c>
      <c r="Y17" s="41">
        <f t="shared" si="1"/>
        <v>3</v>
      </c>
      <c r="Z17" s="41">
        <f t="shared" si="2"/>
        <v>15.600000000000001</v>
      </c>
      <c r="AA17" s="41">
        <f t="shared" si="3"/>
        <v>0</v>
      </c>
      <c r="AB17" s="41"/>
      <c r="AC17" s="41">
        <f t="shared" si="4"/>
        <v>3</v>
      </c>
      <c r="AD17" s="42">
        <f t="shared" si="6"/>
        <v>15.600000000000001</v>
      </c>
      <c r="AF17" s="40">
        <f t="shared" si="5"/>
        <v>0</v>
      </c>
      <c r="AI17" s="65" t="s">
        <v>24</v>
      </c>
      <c r="AJ17" s="66" t="s">
        <v>38</v>
      </c>
      <c r="AK17" s="66">
        <v>1</v>
      </c>
      <c r="AL17" s="66">
        <f t="shared" ref="AL17:AL19" si="9">AK17*5.2</f>
        <v>5.2</v>
      </c>
    </row>
    <row r="18" spans="1:38" s="79" customFormat="1" ht="20.25" customHeight="1">
      <c r="A18" s="67" t="s">
        <v>43</v>
      </c>
      <c r="B18" s="68"/>
      <c r="C18" s="68"/>
      <c r="D18" s="68"/>
      <c r="E18" s="69">
        <f>SUM(E5:E17)</f>
        <v>1320.7999999999997</v>
      </c>
      <c r="F18" s="69"/>
      <c r="G18" s="69"/>
      <c r="H18" s="70"/>
      <c r="I18" s="71">
        <f t="shared" ref="I18:U18" si="10">SUM(I5:I17)</f>
        <v>780</v>
      </c>
      <c r="J18" s="71">
        <f t="shared" si="10"/>
        <v>104</v>
      </c>
      <c r="K18" s="71">
        <f t="shared" si="10"/>
        <v>26</v>
      </c>
      <c r="L18" s="71">
        <f t="shared" si="10"/>
        <v>161.20000000000002</v>
      </c>
      <c r="M18" s="71">
        <f t="shared" si="10"/>
        <v>41.6</v>
      </c>
      <c r="N18" s="71">
        <f t="shared" si="10"/>
        <v>124.80000000000001</v>
      </c>
      <c r="O18" s="71">
        <f t="shared" si="10"/>
        <v>31.200000000000003</v>
      </c>
      <c r="P18" s="72">
        <f t="shared" si="10"/>
        <v>0</v>
      </c>
      <c r="Q18" s="71">
        <f t="shared" si="10"/>
        <v>36.400000000000006</v>
      </c>
      <c r="R18" s="72">
        <f t="shared" si="10"/>
        <v>0</v>
      </c>
      <c r="S18" s="72">
        <f t="shared" si="10"/>
        <v>5.2</v>
      </c>
      <c r="T18" s="72">
        <f t="shared" si="10"/>
        <v>0</v>
      </c>
      <c r="U18" s="72">
        <f t="shared" si="10"/>
        <v>10.4</v>
      </c>
      <c r="V18" s="73"/>
      <c r="W18" s="74">
        <f>+X18/5.2</f>
        <v>104.00000000000001</v>
      </c>
      <c r="X18" s="75">
        <f t="shared" si="0"/>
        <v>540.80000000000007</v>
      </c>
      <c r="Y18" s="76">
        <f>+Z18/5.2</f>
        <v>101</v>
      </c>
      <c r="Z18" s="77">
        <f t="shared" si="2"/>
        <v>525.20000000000005</v>
      </c>
      <c r="AA18" s="76">
        <f>+AB18/5.2</f>
        <v>150</v>
      </c>
      <c r="AB18" s="77">
        <f t="shared" ref="AB18" si="11">SUM(AB5:AB17)</f>
        <v>780</v>
      </c>
      <c r="AC18" s="76">
        <f>+AD18/5.2</f>
        <v>251</v>
      </c>
      <c r="AD18" s="78">
        <f t="shared" si="6"/>
        <v>1305.2</v>
      </c>
      <c r="AI18" s="65" t="s">
        <v>44</v>
      </c>
      <c r="AJ18" s="66" t="s">
        <v>38</v>
      </c>
      <c r="AK18" s="66">
        <v>10</v>
      </c>
      <c r="AL18" s="66">
        <f t="shared" si="9"/>
        <v>52</v>
      </c>
    </row>
    <row r="19" spans="1:38" s="79" customFormat="1" ht="20.25" customHeight="1" thickBot="1">
      <c r="A19" s="80" t="s">
        <v>45</v>
      </c>
      <c r="B19" s="81"/>
      <c r="C19" s="81"/>
      <c r="D19" s="81"/>
      <c r="E19" s="82"/>
      <c r="F19" s="83">
        <f>SUM(F5:F17)</f>
        <v>254</v>
      </c>
      <c r="G19" s="82"/>
      <c r="H19" s="84"/>
      <c r="I19" s="85">
        <f>I18/5.2</f>
        <v>150</v>
      </c>
      <c r="J19" s="85">
        <f t="shared" ref="J19:K19" si="12">J18/5.2</f>
        <v>20</v>
      </c>
      <c r="K19" s="85">
        <f t="shared" si="12"/>
        <v>5</v>
      </c>
      <c r="L19" s="85">
        <f>L18/5.2</f>
        <v>31.000000000000004</v>
      </c>
      <c r="M19" s="85">
        <f>M18/5.2</f>
        <v>8</v>
      </c>
      <c r="N19" s="85">
        <f t="shared" ref="N19:U19" si="13">N18/5.2</f>
        <v>24</v>
      </c>
      <c r="O19" s="85">
        <f t="shared" si="13"/>
        <v>6</v>
      </c>
      <c r="P19" s="86">
        <f t="shared" si="13"/>
        <v>0</v>
      </c>
      <c r="Q19" s="85">
        <f t="shared" si="13"/>
        <v>7.0000000000000009</v>
      </c>
      <c r="R19" s="86">
        <f t="shared" si="13"/>
        <v>0</v>
      </c>
      <c r="S19" s="86">
        <f t="shared" si="13"/>
        <v>1</v>
      </c>
      <c r="T19" s="86">
        <f t="shared" si="13"/>
        <v>0</v>
      </c>
      <c r="U19" s="86">
        <f t="shared" si="13"/>
        <v>2</v>
      </c>
      <c r="V19" s="87"/>
      <c r="W19" s="88"/>
      <c r="X19" s="89"/>
      <c r="Y19" s="89"/>
      <c r="Z19" s="89"/>
      <c r="AA19" s="89"/>
      <c r="AB19" s="89"/>
      <c r="AC19" s="89"/>
      <c r="AD19" s="90"/>
      <c r="AI19" s="91" t="s">
        <v>46</v>
      </c>
      <c r="AJ19" s="92" t="s">
        <v>47</v>
      </c>
      <c r="AK19" s="92">
        <v>18</v>
      </c>
      <c r="AL19" s="92">
        <f t="shared" si="9"/>
        <v>93.600000000000009</v>
      </c>
    </row>
    <row r="20" spans="1:38" ht="18.75" customHeight="1" thickBot="1">
      <c r="A20" s="93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5"/>
      <c r="AI20" s="96" t="s">
        <v>48</v>
      </c>
      <c r="AJ20" s="96"/>
      <c r="AK20" s="54">
        <f>SUM(AK16:AK19)</f>
        <v>36</v>
      </c>
      <c r="AL20" s="54">
        <f>SUM(AL16:AL19)</f>
        <v>187.2</v>
      </c>
    </row>
    <row r="21" spans="1:38" ht="25.5" hidden="1" customHeight="1">
      <c r="A21" s="97"/>
      <c r="H21" s="98" t="s">
        <v>6</v>
      </c>
      <c r="I21" s="99" t="s">
        <v>49</v>
      </c>
      <c r="J21" s="99"/>
      <c r="K21" s="99"/>
      <c r="L21" s="99"/>
      <c r="M21" s="99">
        <v>45839</v>
      </c>
      <c r="N21" s="99">
        <v>45870</v>
      </c>
      <c r="O21" s="99">
        <v>45901</v>
      </c>
      <c r="P21" s="99">
        <v>45931</v>
      </c>
      <c r="Q21" s="99">
        <v>45962</v>
      </c>
      <c r="R21" s="99">
        <v>45992</v>
      </c>
      <c r="S21" s="99">
        <v>46023</v>
      </c>
      <c r="T21" s="99">
        <v>46054</v>
      </c>
      <c r="U21" s="100">
        <v>46082</v>
      </c>
      <c r="V21" s="101"/>
      <c r="W21" s="102"/>
      <c r="X21" s="102"/>
      <c r="Y21" s="102"/>
      <c r="Z21" s="102"/>
      <c r="AA21" s="102"/>
      <c r="AB21" s="102"/>
      <c r="AC21" s="102"/>
      <c r="AD21" s="102"/>
    </row>
    <row r="22" spans="1:38" s="40" customFormat="1" ht="18.75" hidden="1" customHeight="1">
      <c r="A22" s="97"/>
      <c r="B22"/>
      <c r="C22" s="1"/>
      <c r="D22" s="103"/>
      <c r="H22" s="104" t="s">
        <v>25</v>
      </c>
      <c r="I22" s="105">
        <f t="shared" ref="I22:U25" si="14">SUMIF($D$5:$D$14,$H22,I$5:I$14)</f>
        <v>608.40000000000009</v>
      </c>
      <c r="J22" s="105"/>
      <c r="K22" s="105"/>
      <c r="L22" s="105"/>
      <c r="M22" s="105">
        <f>SUMIF($D$5:$D$17,$H22,M$5:M$17)</f>
        <v>41.6</v>
      </c>
      <c r="N22" s="105">
        <f t="shared" si="14"/>
        <v>0</v>
      </c>
      <c r="O22" s="105">
        <f t="shared" si="14"/>
        <v>0</v>
      </c>
      <c r="P22" s="105">
        <f t="shared" si="14"/>
        <v>0</v>
      </c>
      <c r="Q22" s="105">
        <f t="shared" si="14"/>
        <v>0</v>
      </c>
      <c r="R22" s="105">
        <f t="shared" si="14"/>
        <v>0</v>
      </c>
      <c r="S22" s="105">
        <f t="shared" si="14"/>
        <v>0</v>
      </c>
      <c r="T22" s="105">
        <f t="shared" si="14"/>
        <v>0</v>
      </c>
      <c r="U22" s="106">
        <f t="shared" si="14"/>
        <v>10.4</v>
      </c>
      <c r="V22" s="107"/>
      <c r="W22" s="107"/>
      <c r="X22" s="107"/>
      <c r="Y22" s="107"/>
      <c r="Z22" s="107"/>
      <c r="AA22" s="107"/>
      <c r="AB22" s="107"/>
      <c r="AC22" s="107"/>
      <c r="AD22" s="107"/>
    </row>
    <row r="23" spans="1:38" s="40" customFormat="1" ht="18.75" hidden="1" customHeight="1">
      <c r="A23" s="97"/>
      <c r="B23"/>
      <c r="C23" s="1"/>
      <c r="D23" s="103"/>
      <c r="H23" s="108" t="s">
        <v>50</v>
      </c>
      <c r="I23" s="109">
        <f t="shared" si="14"/>
        <v>0</v>
      </c>
      <c r="J23" s="109"/>
      <c r="K23" s="109"/>
      <c r="L23" s="109"/>
      <c r="M23" s="109">
        <f t="shared" si="14"/>
        <v>0</v>
      </c>
      <c r="N23" s="109">
        <f t="shared" si="14"/>
        <v>0</v>
      </c>
      <c r="O23" s="109">
        <f t="shared" si="14"/>
        <v>0</v>
      </c>
      <c r="P23" s="109">
        <f t="shared" si="14"/>
        <v>0</v>
      </c>
      <c r="Q23" s="109">
        <f t="shared" si="14"/>
        <v>0</v>
      </c>
      <c r="R23" s="109">
        <f t="shared" si="14"/>
        <v>0</v>
      </c>
      <c r="S23" s="109">
        <f t="shared" si="14"/>
        <v>0</v>
      </c>
      <c r="T23" s="109">
        <f t="shared" si="14"/>
        <v>0</v>
      </c>
      <c r="U23" s="110">
        <f t="shared" si="14"/>
        <v>0</v>
      </c>
      <c r="V23" s="107"/>
      <c r="W23" s="107"/>
      <c r="X23" s="107"/>
      <c r="Y23" s="107"/>
      <c r="Z23" s="107"/>
      <c r="AA23" s="107"/>
      <c r="AB23" s="107"/>
      <c r="AC23" s="107"/>
      <c r="AD23" s="107"/>
    </row>
    <row r="24" spans="1:38" s="40" customFormat="1" ht="18.75" hidden="1" customHeight="1">
      <c r="A24" s="97"/>
      <c r="B24"/>
      <c r="C24" s="1"/>
      <c r="D24" s="103"/>
      <c r="H24" s="108" t="s">
        <v>20</v>
      </c>
      <c r="I24" s="109">
        <f t="shared" si="14"/>
        <v>171.6</v>
      </c>
      <c r="J24" s="109"/>
      <c r="K24" s="109"/>
      <c r="L24" s="109"/>
      <c r="M24" s="109">
        <f t="shared" si="14"/>
        <v>0</v>
      </c>
      <c r="N24" s="109">
        <f t="shared" si="14"/>
        <v>0</v>
      </c>
      <c r="O24" s="109">
        <f t="shared" si="14"/>
        <v>0</v>
      </c>
      <c r="P24" s="109">
        <f t="shared" si="14"/>
        <v>0</v>
      </c>
      <c r="Q24" s="109">
        <f t="shared" si="14"/>
        <v>0</v>
      </c>
      <c r="R24" s="109">
        <f t="shared" si="14"/>
        <v>0</v>
      </c>
      <c r="S24" s="109">
        <f t="shared" si="14"/>
        <v>0</v>
      </c>
      <c r="T24" s="109">
        <f t="shared" si="14"/>
        <v>0</v>
      </c>
      <c r="U24" s="110">
        <f t="shared" si="14"/>
        <v>0</v>
      </c>
      <c r="V24" s="107"/>
      <c r="W24" s="107"/>
      <c r="X24" s="107"/>
      <c r="Y24" s="107"/>
      <c r="Z24" s="107"/>
      <c r="AA24" s="107"/>
      <c r="AB24" s="107"/>
      <c r="AC24" s="107"/>
      <c r="AD24" s="107"/>
    </row>
    <row r="25" spans="1:38" s="40" customFormat="1" ht="18.75" hidden="1" customHeight="1">
      <c r="A25" s="97"/>
      <c r="B25"/>
      <c r="C25" s="1"/>
      <c r="D25" s="103"/>
      <c r="H25" s="111" t="s">
        <v>51</v>
      </c>
      <c r="I25" s="112">
        <f t="shared" si="14"/>
        <v>0</v>
      </c>
      <c r="J25" s="112"/>
      <c r="K25" s="112"/>
      <c r="L25" s="112"/>
      <c r="M25" s="112">
        <f t="shared" si="14"/>
        <v>0</v>
      </c>
      <c r="N25" s="112">
        <f t="shared" si="14"/>
        <v>0</v>
      </c>
      <c r="O25" s="112">
        <f t="shared" si="14"/>
        <v>0</v>
      </c>
      <c r="P25" s="112">
        <f t="shared" si="14"/>
        <v>0</v>
      </c>
      <c r="Q25" s="112">
        <f t="shared" si="14"/>
        <v>0</v>
      </c>
      <c r="R25" s="113">
        <f t="shared" si="14"/>
        <v>0</v>
      </c>
      <c r="S25" s="113">
        <f t="shared" si="14"/>
        <v>0</v>
      </c>
      <c r="T25" s="112">
        <f t="shared" si="14"/>
        <v>0</v>
      </c>
      <c r="U25" s="114">
        <f t="shared" si="14"/>
        <v>0</v>
      </c>
      <c r="V25" s="107"/>
      <c r="W25" s="107"/>
      <c r="X25" s="107"/>
      <c r="Y25" s="107"/>
      <c r="Z25" s="107"/>
      <c r="AA25" s="107"/>
      <c r="AB25" s="107"/>
      <c r="AC25" s="107"/>
      <c r="AD25" s="107"/>
    </row>
    <row r="26" spans="1:38" s="40" customFormat="1" ht="18.75" hidden="1" customHeight="1">
      <c r="A26" s="97"/>
      <c r="B26"/>
      <c r="C26" s="1"/>
      <c r="D26" s="103"/>
      <c r="H26" s="53" t="s">
        <v>48</v>
      </c>
      <c r="I26" s="115">
        <f t="shared" ref="I26:U26" si="15">SUM(I22:I25)</f>
        <v>780.00000000000011</v>
      </c>
      <c r="J26" s="116"/>
      <c r="K26" s="116"/>
      <c r="L26" s="116"/>
      <c r="M26" s="116">
        <f t="shared" si="15"/>
        <v>41.6</v>
      </c>
      <c r="N26" s="116">
        <f t="shared" si="15"/>
        <v>0</v>
      </c>
      <c r="O26" s="116">
        <f t="shared" si="15"/>
        <v>0</v>
      </c>
      <c r="P26" s="116">
        <f t="shared" si="15"/>
        <v>0</v>
      </c>
      <c r="Q26" s="116">
        <f t="shared" si="15"/>
        <v>0</v>
      </c>
      <c r="R26" s="116">
        <f t="shared" si="15"/>
        <v>0</v>
      </c>
      <c r="S26" s="116">
        <f t="shared" si="15"/>
        <v>0</v>
      </c>
      <c r="T26" s="116">
        <f t="shared" si="15"/>
        <v>0</v>
      </c>
      <c r="U26" s="117">
        <f t="shared" si="15"/>
        <v>10.4</v>
      </c>
      <c r="V26" s="118"/>
      <c r="W26" s="118"/>
      <c r="X26" s="118"/>
      <c r="Y26" s="118"/>
      <c r="Z26" s="118"/>
      <c r="AA26" s="118"/>
      <c r="AB26" s="118"/>
      <c r="AC26" s="118"/>
      <c r="AD26" s="118"/>
    </row>
    <row r="27" spans="1:38" ht="12.75" hidden="1" customHeight="1">
      <c r="A27" s="97"/>
      <c r="H27" s="119"/>
      <c r="I27" s="120">
        <f>I18/5.2-54</f>
        <v>96</v>
      </c>
      <c r="J27" s="120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G27" s="122"/>
    </row>
    <row r="28" spans="1:38" ht="21" customHeight="1">
      <c r="A28" s="123" t="s">
        <v>52</v>
      </c>
      <c r="B28" s="124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5"/>
    </row>
    <row r="29" spans="1:38" ht="34.5" customHeight="1">
      <c r="A29" s="14" t="s">
        <v>3</v>
      </c>
      <c r="B29" s="15" t="s">
        <v>4</v>
      </c>
      <c r="C29" s="15" t="s">
        <v>5</v>
      </c>
      <c r="D29" s="15" t="s">
        <v>6</v>
      </c>
      <c r="E29" s="15" t="s">
        <v>7</v>
      </c>
      <c r="F29" s="15" t="s">
        <v>8</v>
      </c>
      <c r="G29" s="15" t="s">
        <v>9</v>
      </c>
      <c r="H29" s="16" t="s">
        <v>10</v>
      </c>
      <c r="I29" s="17" t="s">
        <v>11</v>
      </c>
      <c r="J29" s="18">
        <v>45748</v>
      </c>
      <c r="K29" s="18">
        <v>45778</v>
      </c>
      <c r="L29" s="18">
        <v>45809</v>
      </c>
      <c r="M29" s="18">
        <v>45839</v>
      </c>
      <c r="N29" s="18">
        <v>45870</v>
      </c>
      <c r="O29" s="18">
        <v>45901</v>
      </c>
      <c r="P29" s="18">
        <v>45931</v>
      </c>
      <c r="Q29" s="18">
        <v>45962</v>
      </c>
      <c r="R29" s="18">
        <v>45992</v>
      </c>
      <c r="S29" s="18">
        <v>46023</v>
      </c>
      <c r="T29" s="18">
        <v>46054</v>
      </c>
      <c r="U29" s="18">
        <v>46082</v>
      </c>
      <c r="V29" s="19"/>
      <c r="W29" s="20" t="s">
        <v>12</v>
      </c>
      <c r="X29" s="21"/>
      <c r="Y29" s="20" t="s">
        <v>13</v>
      </c>
      <c r="Z29" s="21"/>
      <c r="AA29" s="20" t="s">
        <v>14</v>
      </c>
      <c r="AB29" s="21"/>
      <c r="AC29" s="20" t="s">
        <v>15</v>
      </c>
      <c r="AD29" s="22"/>
    </row>
    <row r="30" spans="1:38" ht="22.5" customHeight="1">
      <c r="A30" s="23"/>
      <c r="B30" s="24"/>
      <c r="C30" s="24"/>
      <c r="D30" s="24"/>
      <c r="E30" s="24"/>
      <c r="F30" s="24"/>
      <c r="G30" s="24"/>
      <c r="H30" s="25"/>
      <c r="I30" s="26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8"/>
      <c r="W30" s="29" t="s">
        <v>16</v>
      </c>
      <c r="X30" s="29" t="s">
        <v>17</v>
      </c>
      <c r="Y30" s="29" t="s">
        <v>16</v>
      </c>
      <c r="Z30" s="29" t="s">
        <v>17</v>
      </c>
      <c r="AA30" s="29" t="s">
        <v>16</v>
      </c>
      <c r="AB30" s="29" t="s">
        <v>17</v>
      </c>
      <c r="AC30" s="29" t="s">
        <v>16</v>
      </c>
      <c r="AD30" s="30" t="s">
        <v>17</v>
      </c>
    </row>
    <row r="31" spans="1:38" s="40" customFormat="1" ht="20.25" customHeight="1">
      <c r="A31" s="31">
        <v>1</v>
      </c>
      <c r="B31" s="32" t="s">
        <v>41</v>
      </c>
      <c r="C31" s="33" t="s">
        <v>42</v>
      </c>
      <c r="D31" s="126" t="s">
        <v>25</v>
      </c>
      <c r="E31" s="126">
        <f>5*5.2</f>
        <v>26</v>
      </c>
      <c r="F31" s="126">
        <f t="shared" ref="F31:F38" si="16">E31/5.2</f>
        <v>5</v>
      </c>
      <c r="G31" s="33" t="s">
        <v>38</v>
      </c>
      <c r="H31" s="34" t="str">
        <f>H16</f>
        <v>Charged</v>
      </c>
      <c r="I31" s="126"/>
      <c r="J31" s="126"/>
      <c r="K31" s="126"/>
      <c r="L31" s="126"/>
      <c r="M31" s="127">
        <f>5*5.2</f>
        <v>26</v>
      </c>
      <c r="N31" s="128"/>
      <c r="O31" s="129"/>
      <c r="P31" s="51"/>
      <c r="Q31" s="51"/>
      <c r="R31" s="130" t="s">
        <v>53</v>
      </c>
      <c r="S31" s="51"/>
      <c r="T31" s="51"/>
      <c r="U31" s="131"/>
      <c r="V31" s="132"/>
      <c r="W31" s="37">
        <f t="shared" ref="W31:W39" si="17">+X31/5.2</f>
        <v>5</v>
      </c>
      <c r="X31" s="133">
        <f t="shared" ref="X31:X39" si="18">+SUM(J31:U31)</f>
        <v>26</v>
      </c>
      <c r="Y31" s="38">
        <f t="shared" ref="Y31:Y39" si="19">+Z31/5.2</f>
        <v>5</v>
      </c>
      <c r="Z31" s="134">
        <f t="shared" ref="Z31:Z39" si="20">+SUM(J31:Q31)</f>
        <v>26</v>
      </c>
      <c r="AA31" s="135" t="s">
        <v>54</v>
      </c>
      <c r="AB31" s="136" t="s">
        <v>54</v>
      </c>
      <c r="AC31" s="38">
        <f t="shared" ref="AC31:AC39" si="21">+AD31/5.2</f>
        <v>5</v>
      </c>
      <c r="AD31" s="137">
        <f>+Z31</f>
        <v>26</v>
      </c>
      <c r="AE31" s="40">
        <f t="shared" ref="AE31:AE37" si="22">SUM(I31:AD31)/5.2</f>
        <v>22.884615384615383</v>
      </c>
      <c r="AF31" s="40">
        <f t="shared" ref="AF31:AF38" si="23">AE31-F31</f>
        <v>17.884615384615383</v>
      </c>
    </row>
    <row r="32" spans="1:38" s="40" customFormat="1" ht="20.25" customHeight="1">
      <c r="A32" s="31">
        <v>2</v>
      </c>
      <c r="B32" s="32" t="s">
        <v>26</v>
      </c>
      <c r="C32" s="33" t="s">
        <v>44</v>
      </c>
      <c r="D32" s="33" t="s">
        <v>25</v>
      </c>
      <c r="E32" s="126">
        <f>12*5.2</f>
        <v>62.400000000000006</v>
      </c>
      <c r="F32" s="126">
        <f>E32/5.2</f>
        <v>12</v>
      </c>
      <c r="G32" s="33" t="s">
        <v>38</v>
      </c>
      <c r="H32" s="34" t="str">
        <f>H31</f>
        <v>Charged</v>
      </c>
      <c r="I32" s="126"/>
      <c r="J32" s="126"/>
      <c r="K32" s="126"/>
      <c r="L32" s="126"/>
      <c r="M32" s="127"/>
      <c r="N32" s="128"/>
      <c r="O32" s="138"/>
      <c r="P32" s="139"/>
      <c r="Q32" s="139"/>
      <c r="R32" s="139">
        <f>4*5.2</f>
        <v>20.8</v>
      </c>
      <c r="S32" s="139">
        <f>3*5.2</f>
        <v>15.600000000000001</v>
      </c>
      <c r="T32" s="139">
        <f>5*5.2</f>
        <v>26</v>
      </c>
      <c r="U32" s="139"/>
      <c r="V32" s="140"/>
      <c r="W32" s="33">
        <f t="shared" si="17"/>
        <v>12</v>
      </c>
      <c r="X32" s="52">
        <f t="shared" si="18"/>
        <v>62.400000000000006</v>
      </c>
      <c r="Y32" s="41">
        <f t="shared" si="19"/>
        <v>0</v>
      </c>
      <c r="Z32" s="41">
        <f t="shared" si="20"/>
        <v>0</v>
      </c>
      <c r="AA32" s="141" t="s">
        <v>54</v>
      </c>
      <c r="AB32" s="141" t="s">
        <v>54</v>
      </c>
      <c r="AC32" s="41">
        <f t="shared" si="21"/>
        <v>0</v>
      </c>
      <c r="AD32" s="142">
        <f t="shared" ref="AD32:AD38" si="24">+Z32</f>
        <v>0</v>
      </c>
      <c r="AE32" s="40">
        <f t="shared" si="22"/>
        <v>26.30769230769231</v>
      </c>
      <c r="AF32" s="40">
        <f t="shared" si="23"/>
        <v>14.30769230769231</v>
      </c>
    </row>
    <row r="33" spans="1:32" s="40" customFormat="1" ht="20.25" customHeight="1">
      <c r="A33" s="143">
        <v>3</v>
      </c>
      <c r="B33" s="144" t="s">
        <v>23</v>
      </c>
      <c r="C33" s="126" t="s">
        <v>55</v>
      </c>
      <c r="D33" s="126" t="s">
        <v>25</v>
      </c>
      <c r="E33" s="126">
        <f>2*5.2</f>
        <v>10.4</v>
      </c>
      <c r="F33" s="126">
        <v>2</v>
      </c>
      <c r="G33" s="126" t="s">
        <v>28</v>
      </c>
      <c r="H33" s="145" t="s">
        <v>22</v>
      </c>
      <c r="I33" s="126"/>
      <c r="J33" s="126"/>
      <c r="K33" s="126"/>
      <c r="L33" s="126"/>
      <c r="M33" s="127"/>
      <c r="N33" s="128"/>
      <c r="O33" s="146"/>
      <c r="P33" s="139"/>
      <c r="Q33" s="139"/>
      <c r="R33" s="139">
        <f>1*5.2</f>
        <v>5.2</v>
      </c>
      <c r="S33" s="139">
        <f>1*5.2</f>
        <v>5.2</v>
      </c>
      <c r="T33" s="128"/>
      <c r="U33" s="147"/>
      <c r="V33" s="132"/>
      <c r="W33" s="33">
        <f t="shared" si="17"/>
        <v>2</v>
      </c>
      <c r="X33" s="131">
        <f t="shared" si="18"/>
        <v>10.4</v>
      </c>
      <c r="Y33" s="41">
        <f t="shared" si="19"/>
        <v>0</v>
      </c>
      <c r="Z33" s="50">
        <f t="shared" si="20"/>
        <v>0</v>
      </c>
      <c r="AA33" s="141" t="s">
        <v>54</v>
      </c>
      <c r="AB33" s="148" t="s">
        <v>54</v>
      </c>
      <c r="AC33" s="41">
        <f t="shared" si="21"/>
        <v>0</v>
      </c>
      <c r="AD33" s="142">
        <f t="shared" si="24"/>
        <v>0</v>
      </c>
      <c r="AE33" s="40">
        <f t="shared" si="22"/>
        <v>4.384615384615385</v>
      </c>
      <c r="AF33" s="40">
        <f t="shared" si="23"/>
        <v>2.384615384615385</v>
      </c>
    </row>
    <row r="34" spans="1:32" s="40" customFormat="1" ht="20.25" customHeight="1">
      <c r="A34" s="143">
        <v>4</v>
      </c>
      <c r="B34" s="144" t="s">
        <v>56</v>
      </c>
      <c r="C34" s="126" t="s">
        <v>34</v>
      </c>
      <c r="D34" s="126" t="s">
        <v>50</v>
      </c>
      <c r="E34" s="126">
        <f>39*5.2</f>
        <v>202.8</v>
      </c>
      <c r="F34" s="126">
        <f t="shared" si="16"/>
        <v>39</v>
      </c>
      <c r="G34" s="126" t="s">
        <v>47</v>
      </c>
      <c r="H34" s="149" t="s">
        <v>22</v>
      </c>
      <c r="I34" s="126"/>
      <c r="J34" s="126"/>
      <c r="K34" s="126"/>
      <c r="L34" s="126"/>
      <c r="M34" s="127"/>
      <c r="N34" s="128"/>
      <c r="O34" s="128"/>
      <c r="P34" s="127">
        <f>15*5.2</f>
        <v>78</v>
      </c>
      <c r="Q34" s="127">
        <f>16*5.2</f>
        <v>83.2</v>
      </c>
      <c r="R34" s="128">
        <f>4*5.2</f>
        <v>20.8</v>
      </c>
      <c r="S34" s="128"/>
      <c r="T34" s="128"/>
      <c r="U34" s="128">
        <f>4*5.2</f>
        <v>20.8</v>
      </c>
      <c r="V34" s="150"/>
      <c r="W34" s="33">
        <f t="shared" si="17"/>
        <v>39</v>
      </c>
      <c r="X34" s="51">
        <f t="shared" si="18"/>
        <v>202.8</v>
      </c>
      <c r="Y34" s="41">
        <f t="shared" si="19"/>
        <v>30.999999999999996</v>
      </c>
      <c r="Z34" s="50">
        <f t="shared" si="20"/>
        <v>161.19999999999999</v>
      </c>
      <c r="AA34" s="141" t="s">
        <v>54</v>
      </c>
      <c r="AB34" s="148" t="s">
        <v>54</v>
      </c>
      <c r="AC34" s="41">
        <f t="shared" si="21"/>
        <v>30.999999999999996</v>
      </c>
      <c r="AD34" s="142">
        <f t="shared" si="24"/>
        <v>161.19999999999999</v>
      </c>
      <c r="AE34" s="40">
        <f t="shared" si="22"/>
        <v>159.42307692307691</v>
      </c>
      <c r="AF34" s="40">
        <f t="shared" si="23"/>
        <v>120.42307692307691</v>
      </c>
    </row>
    <row r="35" spans="1:32" s="40" customFormat="1" ht="20.25" customHeight="1">
      <c r="A35" s="143">
        <v>5</v>
      </c>
      <c r="B35" s="32" t="s">
        <v>23</v>
      </c>
      <c r="C35" s="33" t="s">
        <v>57</v>
      </c>
      <c r="D35" s="126" t="s">
        <v>25</v>
      </c>
      <c r="E35" s="126">
        <f>36*5.2</f>
        <v>187.20000000000002</v>
      </c>
      <c r="F35" s="126">
        <f t="shared" si="16"/>
        <v>36</v>
      </c>
      <c r="G35" s="33" t="s">
        <v>58</v>
      </c>
      <c r="H35" s="34">
        <f>'[1]FY 24-26 Khavda Solar '!M31</f>
        <v>45900</v>
      </c>
      <c r="I35" s="33"/>
      <c r="J35" s="33"/>
      <c r="K35" s="33"/>
      <c r="L35" s="126"/>
      <c r="M35" s="128"/>
      <c r="N35" s="51"/>
      <c r="O35" s="129"/>
      <c r="P35" s="51"/>
      <c r="Q35" s="127"/>
      <c r="R35" s="128">
        <f>20*5.2</f>
        <v>104</v>
      </c>
      <c r="S35" s="128">
        <f>15*5.2</f>
        <v>78</v>
      </c>
      <c r="T35" s="128">
        <f>1*5.2</f>
        <v>5.2</v>
      </c>
      <c r="U35" s="147"/>
      <c r="V35" s="132"/>
      <c r="W35" s="33">
        <f t="shared" si="17"/>
        <v>36</v>
      </c>
      <c r="X35" s="131">
        <f t="shared" si="18"/>
        <v>187.2</v>
      </c>
      <c r="Y35" s="41">
        <f t="shared" si="19"/>
        <v>0</v>
      </c>
      <c r="Z35" s="50">
        <f t="shared" si="20"/>
        <v>0</v>
      </c>
      <c r="AA35" s="141" t="s">
        <v>54</v>
      </c>
      <c r="AB35" s="148" t="s">
        <v>54</v>
      </c>
      <c r="AC35" s="41">
        <f t="shared" si="21"/>
        <v>0</v>
      </c>
      <c r="AD35" s="142">
        <f t="shared" si="24"/>
        <v>0</v>
      </c>
      <c r="AE35" s="40">
        <f t="shared" si="22"/>
        <v>78.92307692307692</v>
      </c>
      <c r="AF35" s="40">
        <f t="shared" si="23"/>
        <v>42.92307692307692</v>
      </c>
    </row>
    <row r="36" spans="1:32" s="40" customFormat="1" ht="20.25" customHeight="1">
      <c r="A36" s="31">
        <v>6</v>
      </c>
      <c r="B36" s="32" t="s">
        <v>23</v>
      </c>
      <c r="C36" s="33" t="s">
        <v>59</v>
      </c>
      <c r="D36" s="126" t="s">
        <v>25</v>
      </c>
      <c r="E36" s="126">
        <f>27*5.2</f>
        <v>140.4</v>
      </c>
      <c r="F36" s="126">
        <f t="shared" si="16"/>
        <v>27</v>
      </c>
      <c r="G36" s="33" t="s">
        <v>60</v>
      </c>
      <c r="H36" s="151">
        <v>45900</v>
      </c>
      <c r="I36" s="33"/>
      <c r="J36" s="33"/>
      <c r="K36" s="33"/>
      <c r="L36" s="33"/>
      <c r="M36" s="128"/>
      <c r="N36" s="128"/>
      <c r="O36" s="129"/>
      <c r="P36" s="51"/>
      <c r="Q36" s="48"/>
      <c r="R36" s="128"/>
      <c r="S36" s="128">
        <f>19*5.2</f>
        <v>98.8</v>
      </c>
      <c r="T36" s="128">
        <f>8*5.2</f>
        <v>41.6</v>
      </c>
      <c r="U36" s="128"/>
      <c r="V36" s="150"/>
      <c r="W36" s="33">
        <f t="shared" si="17"/>
        <v>27</v>
      </c>
      <c r="X36" s="51">
        <f t="shared" si="18"/>
        <v>140.4</v>
      </c>
      <c r="Y36" s="41">
        <f t="shared" si="19"/>
        <v>0</v>
      </c>
      <c r="Z36" s="50">
        <f t="shared" si="20"/>
        <v>0</v>
      </c>
      <c r="AA36" s="141" t="s">
        <v>54</v>
      </c>
      <c r="AB36" s="148" t="s">
        <v>54</v>
      </c>
      <c r="AC36" s="41">
        <f t="shared" si="21"/>
        <v>0</v>
      </c>
      <c r="AD36" s="142">
        <f t="shared" si="24"/>
        <v>0</v>
      </c>
      <c r="AE36" s="40">
        <f t="shared" si="22"/>
        <v>59.192307692307693</v>
      </c>
      <c r="AF36" s="40">
        <f t="shared" si="23"/>
        <v>32.192307692307693</v>
      </c>
    </row>
    <row r="37" spans="1:32" s="40" customFormat="1" ht="20.25" customHeight="1">
      <c r="A37" s="143">
        <v>8</v>
      </c>
      <c r="B37" s="32" t="s">
        <v>23</v>
      </c>
      <c r="C37" s="33" t="s">
        <v>57</v>
      </c>
      <c r="D37" s="126" t="s">
        <v>25</v>
      </c>
      <c r="E37" s="126">
        <f>13*5.2</f>
        <v>67.600000000000009</v>
      </c>
      <c r="F37" s="126">
        <f t="shared" si="16"/>
        <v>13.000000000000002</v>
      </c>
      <c r="G37" s="33" t="s">
        <v>61</v>
      </c>
      <c r="H37" s="152">
        <v>45991</v>
      </c>
      <c r="I37" s="33"/>
      <c r="J37" s="33"/>
      <c r="K37" s="126"/>
      <c r="L37" s="126"/>
      <c r="M37" s="51"/>
      <c r="N37" s="51"/>
      <c r="O37" s="129"/>
      <c r="P37" s="51"/>
      <c r="Q37" s="48"/>
      <c r="R37" s="153"/>
      <c r="S37" s="154"/>
      <c r="T37" s="154">
        <f>5*5.2</f>
        <v>26</v>
      </c>
      <c r="U37" s="128">
        <f>8*5.2</f>
        <v>41.6</v>
      </c>
      <c r="V37" s="150"/>
      <c r="W37" s="33">
        <f t="shared" si="17"/>
        <v>12.999999999999998</v>
      </c>
      <c r="X37" s="51">
        <f t="shared" si="18"/>
        <v>67.599999999999994</v>
      </c>
      <c r="Y37" s="41">
        <f t="shared" si="19"/>
        <v>0</v>
      </c>
      <c r="Z37" s="50">
        <f t="shared" si="20"/>
        <v>0</v>
      </c>
      <c r="AA37" s="141" t="s">
        <v>54</v>
      </c>
      <c r="AB37" s="148" t="s">
        <v>54</v>
      </c>
      <c r="AC37" s="41">
        <f t="shared" si="21"/>
        <v>0</v>
      </c>
      <c r="AD37" s="142">
        <f t="shared" si="24"/>
        <v>0</v>
      </c>
      <c r="AE37" s="40">
        <f t="shared" si="22"/>
        <v>28.499999999999996</v>
      </c>
      <c r="AF37" s="40">
        <f t="shared" si="23"/>
        <v>15.499999999999995</v>
      </c>
    </row>
    <row r="38" spans="1:32" s="40" customFormat="1" ht="20.25" customHeight="1">
      <c r="A38" s="57">
        <v>9</v>
      </c>
      <c r="B38" s="58" t="s">
        <v>23</v>
      </c>
      <c r="C38" s="45" t="s">
        <v>59</v>
      </c>
      <c r="D38" s="155" t="s">
        <v>25</v>
      </c>
      <c r="E38" s="155">
        <f>60*5.2</f>
        <v>312</v>
      </c>
      <c r="F38" s="155">
        <f t="shared" si="16"/>
        <v>60</v>
      </c>
      <c r="G38" s="45" t="s">
        <v>61</v>
      </c>
      <c r="H38" s="156">
        <v>45991</v>
      </c>
      <c r="I38" s="45"/>
      <c r="J38" s="45"/>
      <c r="K38" s="45"/>
      <c r="L38" s="45"/>
      <c r="M38" s="45"/>
      <c r="N38" s="45"/>
      <c r="O38" s="45"/>
      <c r="P38" s="157"/>
      <c r="Q38" s="62"/>
      <c r="R38" s="158"/>
      <c r="S38" s="159">
        <f>4*5.2</f>
        <v>20.8</v>
      </c>
      <c r="T38" s="159">
        <f>24*5.2</f>
        <v>124.80000000000001</v>
      </c>
      <c r="U38" s="159">
        <f>32*5.2</f>
        <v>166.4</v>
      </c>
      <c r="V38" s="150"/>
      <c r="W38" s="33">
        <f t="shared" si="17"/>
        <v>60</v>
      </c>
      <c r="X38" s="51">
        <f t="shared" si="18"/>
        <v>312</v>
      </c>
      <c r="Y38" s="41">
        <f t="shared" si="19"/>
        <v>0</v>
      </c>
      <c r="Z38" s="50">
        <f t="shared" si="20"/>
        <v>0</v>
      </c>
      <c r="AA38" s="141" t="s">
        <v>54</v>
      </c>
      <c r="AB38" s="148" t="s">
        <v>54</v>
      </c>
      <c r="AC38" s="41">
        <f t="shared" si="21"/>
        <v>0</v>
      </c>
      <c r="AD38" s="142">
        <f t="shared" si="24"/>
        <v>0</v>
      </c>
      <c r="AE38" s="40">
        <f>SUM(I38:AD38)/5.2</f>
        <v>131.53846153846155</v>
      </c>
      <c r="AF38" s="40">
        <f t="shared" si="23"/>
        <v>71.538461538461547</v>
      </c>
    </row>
    <row r="39" spans="1:32" s="174" customFormat="1" ht="17.25" customHeight="1">
      <c r="A39" s="160" t="s">
        <v>62</v>
      </c>
      <c r="B39" s="161"/>
      <c r="C39" s="161"/>
      <c r="D39" s="161"/>
      <c r="E39" s="162">
        <f>SUM(E25:E38)</f>
        <v>1008.8000000000001</v>
      </c>
      <c r="F39" s="162"/>
      <c r="G39" s="162"/>
      <c r="H39" s="163"/>
      <c r="I39" s="164">
        <f t="shared" ref="I39:U39" si="25">SUM(I31:I38)</f>
        <v>0</v>
      </c>
      <c r="J39" s="164">
        <f t="shared" si="25"/>
        <v>0</v>
      </c>
      <c r="K39" s="164">
        <f t="shared" si="25"/>
        <v>0</v>
      </c>
      <c r="L39" s="164">
        <f t="shared" si="25"/>
        <v>0</v>
      </c>
      <c r="M39" s="164">
        <f t="shared" si="25"/>
        <v>26</v>
      </c>
      <c r="N39" s="164">
        <f t="shared" si="25"/>
        <v>0</v>
      </c>
      <c r="O39" s="165">
        <f t="shared" si="25"/>
        <v>0</v>
      </c>
      <c r="P39" s="164">
        <f t="shared" si="25"/>
        <v>78</v>
      </c>
      <c r="Q39" s="164">
        <f t="shared" si="25"/>
        <v>83.2</v>
      </c>
      <c r="R39" s="162">
        <f t="shared" si="25"/>
        <v>150.80000000000001</v>
      </c>
      <c r="S39" s="162">
        <f t="shared" si="25"/>
        <v>218.4</v>
      </c>
      <c r="T39" s="162">
        <f t="shared" si="25"/>
        <v>223.60000000000002</v>
      </c>
      <c r="U39" s="162">
        <f t="shared" si="25"/>
        <v>228.8</v>
      </c>
      <c r="V39" s="166"/>
      <c r="W39" s="167">
        <f t="shared" si="17"/>
        <v>193.99999999999997</v>
      </c>
      <c r="X39" s="168">
        <f t="shared" si="18"/>
        <v>1008.8</v>
      </c>
      <c r="Y39" s="169">
        <f t="shared" si="19"/>
        <v>36</v>
      </c>
      <c r="Z39" s="170">
        <f t="shared" si="20"/>
        <v>187.2</v>
      </c>
      <c r="AA39" s="171" t="s">
        <v>54</v>
      </c>
      <c r="AB39" s="172" t="s">
        <v>54</v>
      </c>
      <c r="AC39" s="169">
        <f t="shared" si="21"/>
        <v>36</v>
      </c>
      <c r="AD39" s="173">
        <f>+Z39</f>
        <v>187.2</v>
      </c>
    </row>
    <row r="40" spans="1:32" ht="16.5" customHeight="1">
      <c r="A40" s="175" t="s">
        <v>63</v>
      </c>
      <c r="B40" s="176"/>
      <c r="C40" s="176"/>
      <c r="D40" s="176"/>
      <c r="E40" s="177"/>
      <c r="F40" s="178">
        <f>SUM(F25:F38)</f>
        <v>194</v>
      </c>
      <c r="G40" s="177"/>
      <c r="H40" s="179"/>
      <c r="I40" s="180">
        <f>I39/5.2</f>
        <v>0</v>
      </c>
      <c r="J40" s="180">
        <f t="shared" ref="J40:K40" si="26">J39/5.2</f>
        <v>0</v>
      </c>
      <c r="K40" s="180">
        <f t="shared" si="26"/>
        <v>0</v>
      </c>
      <c r="L40" s="180">
        <f>L39/5.2</f>
        <v>0</v>
      </c>
      <c r="M40" s="180">
        <f>M39/5.2</f>
        <v>5</v>
      </c>
      <c r="N40" s="180">
        <f t="shared" ref="N40:U40" si="27">N39/5.2</f>
        <v>0</v>
      </c>
      <c r="O40" s="181">
        <f t="shared" si="27"/>
        <v>0</v>
      </c>
      <c r="P40" s="180">
        <f t="shared" si="27"/>
        <v>15</v>
      </c>
      <c r="Q40" s="180">
        <f t="shared" si="27"/>
        <v>16</v>
      </c>
      <c r="R40" s="181">
        <f t="shared" si="27"/>
        <v>29</v>
      </c>
      <c r="S40" s="182">
        <f t="shared" si="27"/>
        <v>42</v>
      </c>
      <c r="T40" s="182">
        <f t="shared" si="27"/>
        <v>43</v>
      </c>
      <c r="U40" s="182">
        <f t="shared" si="27"/>
        <v>44</v>
      </c>
      <c r="V40" s="166"/>
      <c r="W40" s="183"/>
      <c r="X40" s="184"/>
      <c r="Y40" s="184"/>
      <c r="Z40" s="184"/>
      <c r="AA40" s="184"/>
      <c r="AB40" s="184"/>
      <c r="AC40" s="184"/>
      <c r="AD40" s="185"/>
    </row>
    <row r="41" spans="1:32" ht="16.5" customHeight="1">
      <c r="A41" s="186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8"/>
    </row>
    <row r="42" spans="1:32" ht="16.5" customHeight="1">
      <c r="A42" s="175" t="s">
        <v>64</v>
      </c>
      <c r="B42" s="176"/>
      <c r="C42" s="176"/>
      <c r="D42" s="176"/>
      <c r="E42" s="189">
        <f>SUM(E39,E18)</f>
        <v>2329.6</v>
      </c>
      <c r="F42" s="190"/>
      <c r="G42" s="177"/>
      <c r="H42" s="179"/>
      <c r="I42" s="180">
        <f t="shared" ref="I42:U42" si="28">SUM(I39,I18)</f>
        <v>780</v>
      </c>
      <c r="J42" s="180">
        <f t="shared" si="28"/>
        <v>104</v>
      </c>
      <c r="K42" s="180">
        <f t="shared" si="28"/>
        <v>26</v>
      </c>
      <c r="L42" s="180">
        <f t="shared" si="28"/>
        <v>161.20000000000002</v>
      </c>
      <c r="M42" s="180">
        <f t="shared" si="28"/>
        <v>67.599999999999994</v>
      </c>
      <c r="N42" s="180">
        <f t="shared" si="28"/>
        <v>124.80000000000001</v>
      </c>
      <c r="O42" s="180">
        <f t="shared" si="28"/>
        <v>31.200000000000003</v>
      </c>
      <c r="P42" s="180">
        <f t="shared" si="28"/>
        <v>78</v>
      </c>
      <c r="Q42" s="180">
        <f t="shared" si="28"/>
        <v>119.60000000000001</v>
      </c>
      <c r="R42" s="182">
        <f t="shared" si="28"/>
        <v>150.80000000000001</v>
      </c>
      <c r="S42" s="182">
        <f t="shared" si="28"/>
        <v>223.6</v>
      </c>
      <c r="T42" s="182">
        <f t="shared" si="28"/>
        <v>223.60000000000002</v>
      </c>
      <c r="U42" s="182">
        <f t="shared" si="28"/>
        <v>239.20000000000002</v>
      </c>
      <c r="V42" s="166"/>
      <c r="W42" s="191">
        <f>+X42/5.2</f>
        <v>298</v>
      </c>
      <c r="X42" s="192">
        <f>SUM(X39,X18)</f>
        <v>1549.6</v>
      </c>
      <c r="Y42" s="193">
        <f>+Z42/5.2</f>
        <v>137</v>
      </c>
      <c r="Z42" s="194">
        <f>SUM(Z39,Z18)</f>
        <v>712.40000000000009</v>
      </c>
      <c r="AA42" s="193">
        <f>+AB42/5.2</f>
        <v>150</v>
      </c>
      <c r="AB42" s="193">
        <f>SUM(AA39,AB18)</f>
        <v>780</v>
      </c>
      <c r="AC42" s="193">
        <f>+AD42/5.2</f>
        <v>287</v>
      </c>
      <c r="AD42" s="195">
        <f>SUM(AD39,AD18)</f>
        <v>1492.4</v>
      </c>
    </row>
    <row r="43" spans="1:32" s="79" customFormat="1" ht="18.75" customHeight="1">
      <c r="A43" s="175"/>
      <c r="B43" s="176"/>
      <c r="C43" s="176"/>
      <c r="D43" s="176"/>
      <c r="E43" s="189"/>
      <c r="F43" s="190"/>
      <c r="G43" s="177"/>
      <c r="H43" s="196"/>
      <c r="I43" s="180"/>
      <c r="J43" s="197">
        <f>SUM(J42:L42)</f>
        <v>291.20000000000005</v>
      </c>
      <c r="K43" s="197"/>
      <c r="L43" s="197"/>
      <c r="M43" s="197">
        <f>SUM(M42:O42)</f>
        <v>223.60000000000002</v>
      </c>
      <c r="N43" s="197"/>
      <c r="O43" s="197"/>
      <c r="P43" s="198">
        <f>SUM(P42:R42)</f>
        <v>348.40000000000003</v>
      </c>
      <c r="Q43" s="198"/>
      <c r="R43" s="198"/>
      <c r="S43" s="199">
        <f>SUM(S42:U42)</f>
        <v>686.40000000000009</v>
      </c>
      <c r="T43" s="199"/>
      <c r="U43" s="199"/>
      <c r="V43" s="166"/>
      <c r="W43" s="200">
        <f>SUM(X40,X19)</f>
        <v>0</v>
      </c>
      <c r="X43" s="201"/>
      <c r="Y43" s="201"/>
      <c r="Z43" s="201"/>
      <c r="AA43" s="201"/>
      <c r="AB43" s="201"/>
      <c r="AC43" s="201"/>
      <c r="AD43" s="202"/>
    </row>
    <row r="44" spans="1:32" ht="16.5" customHeight="1">
      <c r="A44" s="175" t="s">
        <v>65</v>
      </c>
      <c r="B44" s="176"/>
      <c r="C44" s="176"/>
      <c r="D44" s="176"/>
      <c r="E44" s="177"/>
      <c r="F44" s="190">
        <f>SUM(F40,F19)</f>
        <v>448</v>
      </c>
      <c r="G44" s="177"/>
      <c r="H44" s="179"/>
      <c r="I44" s="180">
        <f t="shared" ref="I44:U44" si="29">SUM(I40,I19)</f>
        <v>150</v>
      </c>
      <c r="J44" s="180">
        <f t="shared" si="29"/>
        <v>20</v>
      </c>
      <c r="K44" s="180">
        <f t="shared" si="29"/>
        <v>5</v>
      </c>
      <c r="L44" s="180">
        <f t="shared" si="29"/>
        <v>31.000000000000004</v>
      </c>
      <c r="M44" s="180">
        <f t="shared" si="29"/>
        <v>13</v>
      </c>
      <c r="N44" s="180">
        <f t="shared" si="29"/>
        <v>24</v>
      </c>
      <c r="O44" s="180">
        <f t="shared" si="29"/>
        <v>6</v>
      </c>
      <c r="P44" s="180">
        <f t="shared" si="29"/>
        <v>15</v>
      </c>
      <c r="Q44" s="180">
        <f t="shared" si="29"/>
        <v>23</v>
      </c>
      <c r="R44" s="181">
        <f t="shared" si="29"/>
        <v>29</v>
      </c>
      <c r="S44" s="182">
        <f t="shared" si="29"/>
        <v>43</v>
      </c>
      <c r="T44" s="182">
        <f t="shared" si="29"/>
        <v>43</v>
      </c>
      <c r="U44" s="182">
        <f t="shared" si="29"/>
        <v>46</v>
      </c>
      <c r="V44" s="166"/>
      <c r="W44" s="200"/>
      <c r="X44" s="201"/>
      <c r="Y44" s="201"/>
      <c r="Z44" s="201"/>
      <c r="AA44" s="201"/>
      <c r="AB44" s="201"/>
      <c r="AC44" s="201"/>
      <c r="AD44" s="202"/>
    </row>
    <row r="45" spans="1:32" ht="16.5" customHeight="1" thickBot="1">
      <c r="A45" s="203"/>
      <c r="B45" s="204"/>
      <c r="C45" s="204"/>
      <c r="D45" s="204"/>
      <c r="E45" s="205"/>
      <c r="F45" s="206"/>
      <c r="G45" s="205"/>
      <c r="H45" s="207">
        <f>H43+H19</f>
        <v>0</v>
      </c>
      <c r="I45" s="208"/>
      <c r="J45" s="209">
        <f>SUM(J44:L44)</f>
        <v>56</v>
      </c>
      <c r="K45" s="209"/>
      <c r="L45" s="209"/>
      <c r="M45" s="209">
        <f>SUM(M44:O44)</f>
        <v>43</v>
      </c>
      <c r="N45" s="209"/>
      <c r="O45" s="209"/>
      <c r="P45" s="210">
        <f>SUM(P44:R44)</f>
        <v>67</v>
      </c>
      <c r="Q45" s="210"/>
      <c r="R45" s="210"/>
      <c r="S45" s="211">
        <f>SUM(S44:U44)</f>
        <v>132</v>
      </c>
      <c r="T45" s="211"/>
      <c r="U45" s="211"/>
      <c r="V45" s="212"/>
      <c r="W45" s="213"/>
      <c r="X45" s="214"/>
      <c r="Y45" s="214"/>
      <c r="Z45" s="214"/>
      <c r="AA45" s="214"/>
      <c r="AB45" s="214"/>
      <c r="AC45" s="214"/>
      <c r="AD45" s="215"/>
    </row>
    <row r="46" spans="1:32" ht="16.5" customHeight="1">
      <c r="A46" s="174"/>
      <c r="B46" s="216" t="s">
        <v>66</v>
      </c>
      <c r="C46" s="174"/>
      <c r="D46" s="174"/>
      <c r="E46" s="174"/>
      <c r="F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</row>
    <row r="47" spans="1:32" ht="34.5" customHeight="1">
      <c r="A47" s="217"/>
      <c r="B47" s="217"/>
      <c r="C47" s="217"/>
      <c r="D47" s="217"/>
      <c r="E47" s="217"/>
      <c r="F47" s="217"/>
      <c r="G47" s="217"/>
      <c r="H47" s="218" t="s">
        <v>10</v>
      </c>
      <c r="I47" s="17" t="s">
        <v>11</v>
      </c>
      <c r="J47" s="18">
        <v>45748</v>
      </c>
      <c r="K47" s="18">
        <v>45778</v>
      </c>
      <c r="L47" s="18">
        <v>45809</v>
      </c>
      <c r="M47" s="18">
        <v>45839</v>
      </c>
      <c r="N47" s="18">
        <v>45870</v>
      </c>
      <c r="O47" s="18">
        <v>45901</v>
      </c>
      <c r="P47" s="18">
        <v>45931</v>
      </c>
      <c r="Q47" s="18">
        <v>45962</v>
      </c>
      <c r="R47" s="18">
        <v>45992</v>
      </c>
      <c r="S47" s="18">
        <v>46023</v>
      </c>
      <c r="T47" s="18">
        <v>46054</v>
      </c>
      <c r="U47" s="18">
        <v>46082</v>
      </c>
      <c r="V47" s="19"/>
      <c r="W47" s="20" t="s">
        <v>12</v>
      </c>
      <c r="X47" s="21"/>
      <c r="Y47" s="20" t="s">
        <v>13</v>
      </c>
      <c r="Z47" s="21"/>
      <c r="AA47" s="20" t="s">
        <v>14</v>
      </c>
      <c r="AB47" s="21"/>
      <c r="AC47" s="20" t="s">
        <v>15</v>
      </c>
      <c r="AD47" s="22"/>
    </row>
    <row r="48" spans="1:32" ht="22.5" customHeight="1" thickBot="1">
      <c r="A48" s="217"/>
      <c r="B48" s="217"/>
      <c r="C48" s="217"/>
      <c r="D48" s="217"/>
      <c r="E48" s="217"/>
      <c r="F48" s="217"/>
      <c r="G48" s="217"/>
      <c r="H48" s="25"/>
      <c r="I48" s="26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8"/>
      <c r="W48" s="29" t="s">
        <v>16</v>
      </c>
      <c r="X48" s="29" t="s">
        <v>17</v>
      </c>
      <c r="Y48" s="29" t="s">
        <v>16</v>
      </c>
      <c r="Z48" s="29" t="s">
        <v>17</v>
      </c>
      <c r="AA48" s="29" t="s">
        <v>16</v>
      </c>
      <c r="AB48" s="29" t="s">
        <v>17</v>
      </c>
      <c r="AC48" s="29" t="s">
        <v>16</v>
      </c>
      <c r="AD48" s="30" t="s">
        <v>17</v>
      </c>
    </row>
    <row r="49" spans="1:30" s="40" customFormat="1" ht="18.75" customHeight="1">
      <c r="A49"/>
      <c r="B49" s="219" t="s">
        <v>67</v>
      </c>
      <c r="C49" s="220" t="s">
        <v>16</v>
      </c>
      <c r="D49" s="221" t="s">
        <v>17</v>
      </c>
      <c r="G49" s="40" t="s">
        <v>50</v>
      </c>
      <c r="H49" s="222" t="s">
        <v>50</v>
      </c>
      <c r="I49" s="223">
        <f>SUMIF($D$5:$D$38,$H49,I$5:U$38)</f>
        <v>0</v>
      </c>
      <c r="J49" s="223">
        <f t="shared" ref="J49:U51" si="30">SUMIF($D$5:$D$38,$H49,J$5:AE$38)</f>
        <v>0</v>
      </c>
      <c r="K49" s="223">
        <f t="shared" si="30"/>
        <v>0</v>
      </c>
      <c r="L49" s="223">
        <f t="shared" si="30"/>
        <v>0</v>
      </c>
      <c r="M49" s="223">
        <f t="shared" si="30"/>
        <v>0</v>
      </c>
      <c r="N49" s="223">
        <f t="shared" si="30"/>
        <v>0</v>
      </c>
      <c r="O49" s="223">
        <f t="shared" si="30"/>
        <v>0</v>
      </c>
      <c r="P49" s="223">
        <f t="shared" si="30"/>
        <v>78</v>
      </c>
      <c r="Q49" s="223">
        <f t="shared" si="30"/>
        <v>83.2</v>
      </c>
      <c r="R49" s="224">
        <f t="shared" si="30"/>
        <v>20.8</v>
      </c>
      <c r="S49" s="224">
        <f t="shared" si="30"/>
        <v>0</v>
      </c>
      <c r="T49" s="224">
        <f t="shared" si="30"/>
        <v>0</v>
      </c>
      <c r="U49" s="224">
        <f t="shared" si="30"/>
        <v>20.8</v>
      </c>
      <c r="V49" s="225"/>
      <c r="W49" s="37">
        <f>+X49/5.2</f>
        <v>39</v>
      </c>
      <c r="X49" s="226">
        <f>+SUM(J49:U49)</f>
        <v>202.8</v>
      </c>
      <c r="Y49" s="38">
        <f>+Z49/5.2</f>
        <v>30.999999999999996</v>
      </c>
      <c r="Z49" s="227">
        <f>+SUM(J49:Q49)</f>
        <v>161.19999999999999</v>
      </c>
      <c r="AA49" s="38">
        <f>+AB49/5.2</f>
        <v>0</v>
      </c>
      <c r="AB49" s="227">
        <f>SUMIF($D$5:$D$38,$H49,AB$5:AP$38)</f>
        <v>0</v>
      </c>
      <c r="AC49" s="38">
        <f>+AD49/5.2</f>
        <v>30.999999999999996</v>
      </c>
      <c r="AD49" s="227">
        <f>+AB49+Z49</f>
        <v>161.19999999999999</v>
      </c>
    </row>
    <row r="50" spans="1:30" s="40" customFormat="1" ht="18.75" customHeight="1">
      <c r="A50"/>
      <c r="B50" s="228" t="s">
        <v>68</v>
      </c>
      <c r="C50" s="54">
        <f>+W52+AA52</f>
        <v>448</v>
      </c>
      <c r="D50" s="229">
        <f>+X52+AB52</f>
        <v>2329.6000000000004</v>
      </c>
      <c r="G50" s="40" t="s">
        <v>25</v>
      </c>
      <c r="H50" s="222" t="s">
        <v>25</v>
      </c>
      <c r="I50" s="223">
        <f>SUMIF($D$5:$D$38,$H50,I$5:U$38)</f>
        <v>608.40000000000009</v>
      </c>
      <c r="J50" s="223">
        <f t="shared" si="30"/>
        <v>104</v>
      </c>
      <c r="K50" s="223">
        <f t="shared" si="30"/>
        <v>0</v>
      </c>
      <c r="L50" s="223">
        <f t="shared" si="30"/>
        <v>130</v>
      </c>
      <c r="M50" s="223">
        <f t="shared" si="30"/>
        <v>67.599999999999994</v>
      </c>
      <c r="N50" s="223">
        <f t="shared" si="30"/>
        <v>124.80000000000001</v>
      </c>
      <c r="O50" s="223">
        <f t="shared" si="30"/>
        <v>31.200000000000003</v>
      </c>
      <c r="P50" s="223">
        <f t="shared" si="30"/>
        <v>0</v>
      </c>
      <c r="Q50" s="223">
        <f t="shared" si="30"/>
        <v>36.400000000000006</v>
      </c>
      <c r="R50" s="224">
        <f t="shared" si="30"/>
        <v>130</v>
      </c>
      <c r="S50" s="224">
        <f t="shared" si="30"/>
        <v>223.60000000000002</v>
      </c>
      <c r="T50" s="224">
        <f t="shared" si="30"/>
        <v>223.60000000000002</v>
      </c>
      <c r="U50" s="224">
        <f t="shared" si="30"/>
        <v>218.4</v>
      </c>
      <c r="V50" s="225"/>
      <c r="W50" s="33">
        <f>+X50/5.2</f>
        <v>248.00000000000003</v>
      </c>
      <c r="X50" s="224">
        <f>+SUM(J50:U50)</f>
        <v>1289.6000000000001</v>
      </c>
      <c r="Y50" s="41">
        <f>+Z50/5.2</f>
        <v>95</v>
      </c>
      <c r="Z50" s="223">
        <f>+SUM(J50:Q50)</f>
        <v>494</v>
      </c>
      <c r="AA50" s="41">
        <f>+AB50/5.2</f>
        <v>117.00000000000001</v>
      </c>
      <c r="AB50" s="223">
        <f>SUMIF($D$5:$D$38,$H50,AB$5:AP$38)</f>
        <v>608.40000000000009</v>
      </c>
      <c r="AC50" s="41">
        <f>+AD50/5.2</f>
        <v>212</v>
      </c>
      <c r="AD50" s="223">
        <f>+AB50+Z50</f>
        <v>1102.4000000000001</v>
      </c>
    </row>
    <row r="51" spans="1:30" s="40" customFormat="1" ht="18.75" customHeight="1" thickBot="1">
      <c r="A51"/>
      <c r="B51" s="230" t="s">
        <v>69</v>
      </c>
      <c r="C51" s="231">
        <f>+Y52+AA52</f>
        <v>287</v>
      </c>
      <c r="D51" s="232">
        <f>+Z52+AB52</f>
        <v>1492.4</v>
      </c>
      <c r="G51" s="40" t="s">
        <v>20</v>
      </c>
      <c r="H51" s="222" t="s">
        <v>20</v>
      </c>
      <c r="I51" s="223">
        <f>SUMIF($D$5:$D$38,$H51,I$5:U$38)</f>
        <v>171.6</v>
      </c>
      <c r="J51" s="223">
        <f t="shared" si="30"/>
        <v>0</v>
      </c>
      <c r="K51" s="223">
        <f t="shared" si="30"/>
        <v>26</v>
      </c>
      <c r="L51" s="223">
        <f t="shared" si="30"/>
        <v>31.200000000000003</v>
      </c>
      <c r="M51" s="223">
        <f t="shared" si="30"/>
        <v>0</v>
      </c>
      <c r="N51" s="223">
        <f t="shared" si="30"/>
        <v>0</v>
      </c>
      <c r="O51" s="223">
        <f t="shared" si="30"/>
        <v>0</v>
      </c>
      <c r="P51" s="223">
        <f t="shared" si="30"/>
        <v>0</v>
      </c>
      <c r="Q51" s="223">
        <f t="shared" si="30"/>
        <v>0</v>
      </c>
      <c r="R51" s="224">
        <f t="shared" si="30"/>
        <v>0</v>
      </c>
      <c r="S51" s="224">
        <f t="shared" si="30"/>
        <v>0</v>
      </c>
      <c r="T51" s="224">
        <f t="shared" si="30"/>
        <v>0</v>
      </c>
      <c r="U51" s="224">
        <f t="shared" si="30"/>
        <v>0</v>
      </c>
      <c r="V51" s="225"/>
      <c r="W51" s="33">
        <f>+X51/5.2</f>
        <v>11</v>
      </c>
      <c r="X51" s="224">
        <f>+SUM(J51:U51)</f>
        <v>57.2</v>
      </c>
      <c r="Y51" s="41">
        <f>+Z51/5.2</f>
        <v>11</v>
      </c>
      <c r="Z51" s="223">
        <f>+SUM(J51:Q51)</f>
        <v>57.2</v>
      </c>
      <c r="AA51" s="41">
        <f>+AB51/5.2</f>
        <v>33</v>
      </c>
      <c r="AB51" s="223">
        <f>SUMIF($D$5:$D$38,$H51,AB$5:AP$38)</f>
        <v>171.6</v>
      </c>
      <c r="AC51" s="41">
        <f>+AD51/5.2</f>
        <v>44</v>
      </c>
      <c r="AD51" s="223">
        <f>+AB51+Z51</f>
        <v>228.8</v>
      </c>
    </row>
    <row r="52" spans="1:30" s="40" customFormat="1" ht="18.75" customHeight="1">
      <c r="A52"/>
      <c r="B52"/>
      <c r="C52" s="1"/>
      <c r="D52" s="103"/>
      <c r="H52" s="233" t="s">
        <v>48</v>
      </c>
      <c r="I52" s="234">
        <f t="shared" ref="I52:U52" si="31">SUM(I49:I51)</f>
        <v>780.00000000000011</v>
      </c>
      <c r="J52" s="234">
        <f t="shared" si="31"/>
        <v>104</v>
      </c>
      <c r="K52" s="234">
        <f t="shared" si="31"/>
        <v>26</v>
      </c>
      <c r="L52" s="234">
        <f t="shared" si="31"/>
        <v>161.19999999999999</v>
      </c>
      <c r="M52" s="234">
        <f t="shared" si="31"/>
        <v>67.599999999999994</v>
      </c>
      <c r="N52" s="234">
        <f t="shared" si="31"/>
        <v>124.80000000000001</v>
      </c>
      <c r="O52" s="234">
        <f t="shared" si="31"/>
        <v>31.200000000000003</v>
      </c>
      <c r="P52" s="234">
        <f t="shared" si="31"/>
        <v>78</v>
      </c>
      <c r="Q52" s="234">
        <f t="shared" si="31"/>
        <v>119.60000000000001</v>
      </c>
      <c r="R52" s="235">
        <f t="shared" si="31"/>
        <v>150.80000000000001</v>
      </c>
      <c r="S52" s="235">
        <f t="shared" si="31"/>
        <v>223.60000000000002</v>
      </c>
      <c r="T52" s="235">
        <f t="shared" si="31"/>
        <v>223.60000000000002</v>
      </c>
      <c r="U52" s="235">
        <f t="shared" si="31"/>
        <v>239.20000000000002</v>
      </c>
      <c r="V52" s="236"/>
      <c r="W52" s="74">
        <f>+X52/5.2</f>
        <v>298</v>
      </c>
      <c r="X52" s="75">
        <f>+SUM(J52:U52)</f>
        <v>1549.6000000000001</v>
      </c>
      <c r="Y52" s="76">
        <f>+Z52/5.2</f>
        <v>137</v>
      </c>
      <c r="Z52" s="77">
        <f>+SUM(J52:Q52)</f>
        <v>712.4</v>
      </c>
      <c r="AA52" s="76">
        <f>+AB52/5.2</f>
        <v>150.00000000000003</v>
      </c>
      <c r="AB52" s="77">
        <f>SUM(AB49:AB51)</f>
        <v>780.00000000000011</v>
      </c>
      <c r="AC52" s="76">
        <f>+AD52/5.2</f>
        <v>287</v>
      </c>
      <c r="AD52" s="77">
        <f>+AB52+Z52</f>
        <v>1492.4</v>
      </c>
    </row>
    <row r="53" spans="1:30" s="40" customFormat="1" ht="18.75" customHeight="1">
      <c r="A53"/>
      <c r="B53"/>
      <c r="C53" s="1"/>
      <c r="D53" s="103"/>
      <c r="H53" s="237"/>
      <c r="I53" s="79"/>
      <c r="J53" s="174"/>
      <c r="K53" s="174"/>
      <c r="L53" s="174"/>
      <c r="M53" s="238"/>
      <c r="N53" s="238"/>
      <c r="O53" s="239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</row>
    <row r="54" spans="1:30" ht="21" hidden="1" customHeight="1">
      <c r="H54" s="240" t="s">
        <v>70</v>
      </c>
    </row>
    <row r="55" spans="1:30" ht="22.5" hidden="1" customHeight="1">
      <c r="H55" s="98" t="s">
        <v>6</v>
      </c>
      <c r="I55" s="99" t="s">
        <v>49</v>
      </c>
      <c r="J55" s="99">
        <v>45748</v>
      </c>
      <c r="K55" s="99">
        <v>45778</v>
      </c>
      <c r="L55" s="99"/>
      <c r="M55" s="99"/>
      <c r="N55" s="99"/>
      <c r="O55" s="99"/>
      <c r="P55" s="99"/>
      <c r="Q55" s="99"/>
      <c r="R55" s="99"/>
      <c r="S55" s="99">
        <v>46023</v>
      </c>
      <c r="T55" s="99">
        <v>46054</v>
      </c>
      <c r="U55" s="241">
        <v>46082</v>
      </c>
      <c r="V55" s="242"/>
      <c r="W55" s="243"/>
      <c r="X55" s="243"/>
      <c r="Y55" s="243"/>
      <c r="Z55" s="243"/>
      <c r="AA55" s="243"/>
      <c r="AB55" s="243"/>
      <c r="AC55" s="243"/>
      <c r="AD55" s="243"/>
    </row>
    <row r="56" spans="1:30" ht="22.5" hidden="1" customHeight="1">
      <c r="H56" s="104" t="s">
        <v>25</v>
      </c>
      <c r="I56" s="105">
        <f>I22+I50</f>
        <v>1216.8000000000002</v>
      </c>
      <c r="J56" s="105">
        <f>J22+J50</f>
        <v>104</v>
      </c>
      <c r="K56" s="105">
        <f>K22+K50</f>
        <v>0</v>
      </c>
      <c r="L56" s="105"/>
      <c r="M56" s="105"/>
      <c r="N56" s="105"/>
      <c r="O56" s="105"/>
      <c r="P56" s="105"/>
      <c r="Q56" s="105"/>
      <c r="R56" s="105"/>
      <c r="S56" s="105">
        <f>S22+S50</f>
        <v>223.60000000000002</v>
      </c>
      <c r="T56" s="105">
        <f>T22+T50</f>
        <v>223.60000000000002</v>
      </c>
      <c r="U56" s="244">
        <f>U22+U50</f>
        <v>228.8</v>
      </c>
      <c r="V56" s="120"/>
      <c r="W56" s="120"/>
      <c r="X56" s="120"/>
      <c r="Y56" s="120"/>
      <c r="Z56" s="120"/>
      <c r="AA56" s="120"/>
      <c r="AB56" s="120"/>
      <c r="AC56" s="120"/>
      <c r="AD56" s="120"/>
    </row>
    <row r="57" spans="1:30" ht="22.5" hidden="1" customHeight="1">
      <c r="H57" s="108" t="s">
        <v>50</v>
      </c>
      <c r="I57" s="109">
        <f>I23+I49</f>
        <v>0</v>
      </c>
      <c r="J57" s="109">
        <f>J23+J49</f>
        <v>0</v>
      </c>
      <c r="K57" s="109">
        <f>K23+K49</f>
        <v>0</v>
      </c>
      <c r="L57" s="109"/>
      <c r="M57" s="109"/>
      <c r="N57" s="109"/>
      <c r="O57" s="109"/>
      <c r="P57" s="109"/>
      <c r="Q57" s="109"/>
      <c r="R57" s="109"/>
      <c r="S57" s="109">
        <f>S23+S49</f>
        <v>0</v>
      </c>
      <c r="T57" s="109">
        <f>T23+T49</f>
        <v>0</v>
      </c>
      <c r="U57" s="245">
        <f>U23+U49</f>
        <v>20.8</v>
      </c>
      <c r="V57" s="120"/>
      <c r="W57" s="120"/>
      <c r="X57" s="120"/>
      <c r="Y57" s="120"/>
      <c r="Z57" s="120"/>
      <c r="AA57" s="120"/>
      <c r="AB57" s="120"/>
      <c r="AC57" s="120"/>
      <c r="AD57" s="120"/>
    </row>
    <row r="58" spans="1:30" ht="22.5" hidden="1" customHeight="1">
      <c r="H58" s="108" t="s">
        <v>20</v>
      </c>
      <c r="I58" s="109">
        <f>I24+I51</f>
        <v>343.2</v>
      </c>
      <c r="J58" s="109">
        <f>J24+J51</f>
        <v>0</v>
      </c>
      <c r="K58" s="109">
        <f>K24+K51</f>
        <v>26</v>
      </c>
      <c r="L58" s="109"/>
      <c r="M58" s="109"/>
      <c r="N58" s="109"/>
      <c r="O58" s="109"/>
      <c r="P58" s="109"/>
      <c r="Q58" s="109"/>
      <c r="R58" s="109"/>
      <c r="S58" s="109">
        <f>S24+S51</f>
        <v>0</v>
      </c>
      <c r="T58" s="109">
        <f>T24+T51</f>
        <v>0</v>
      </c>
      <c r="U58" s="245">
        <f>U24+U51</f>
        <v>0</v>
      </c>
      <c r="V58" s="120"/>
      <c r="W58" s="120"/>
      <c r="X58" s="120"/>
      <c r="Y58" s="120"/>
      <c r="Z58" s="120"/>
      <c r="AA58" s="120"/>
      <c r="AB58" s="120"/>
      <c r="AC58" s="120"/>
      <c r="AD58" s="120"/>
    </row>
    <row r="59" spans="1:30" ht="22.5" hidden="1" customHeight="1">
      <c r="H59" s="111" t="s">
        <v>51</v>
      </c>
      <c r="I59" s="112" t="e">
        <f>I25+#REF!</f>
        <v>#REF!</v>
      </c>
      <c r="J59" s="112" t="e">
        <f>J25+#REF!</f>
        <v>#REF!</v>
      </c>
      <c r="K59" s="112" t="e">
        <f>K25+#REF!</f>
        <v>#REF!</v>
      </c>
      <c r="L59" s="112"/>
      <c r="M59" s="112"/>
      <c r="N59" s="112"/>
      <c r="O59" s="112"/>
      <c r="P59" s="112"/>
      <c r="Q59" s="112"/>
      <c r="R59" s="113"/>
      <c r="S59" s="113" t="e">
        <f>S25+#REF!</f>
        <v>#REF!</v>
      </c>
      <c r="T59" s="112" t="e">
        <f>T25+#REF!</f>
        <v>#REF!</v>
      </c>
      <c r="U59" s="246" t="e">
        <f>U25+#REF!</f>
        <v>#REF!</v>
      </c>
      <c r="V59" s="120"/>
      <c r="W59" s="120"/>
      <c r="X59" s="120"/>
      <c r="Y59" s="120"/>
      <c r="Z59" s="120"/>
      <c r="AA59" s="120"/>
      <c r="AB59" s="120"/>
      <c r="AC59" s="120"/>
      <c r="AD59" s="120"/>
    </row>
    <row r="60" spans="1:30" ht="22.5" hidden="1" customHeight="1">
      <c r="H60" s="53" t="s">
        <v>48</v>
      </c>
      <c r="I60" s="115" t="e">
        <f t="shared" ref="I60:U60" si="32">SUM(I56:I59)</f>
        <v>#REF!</v>
      </c>
      <c r="J60" s="115" t="e">
        <f t="shared" si="32"/>
        <v>#REF!</v>
      </c>
      <c r="K60" s="115" t="e">
        <f t="shared" si="32"/>
        <v>#REF!</v>
      </c>
      <c r="L60" s="115"/>
      <c r="M60" s="115"/>
      <c r="N60" s="115"/>
      <c r="O60" s="115"/>
      <c r="P60" s="115"/>
      <c r="Q60" s="115"/>
      <c r="R60" s="115"/>
      <c r="S60" s="115" t="e">
        <f t="shared" si="32"/>
        <v>#REF!</v>
      </c>
      <c r="T60" s="115" t="e">
        <f t="shared" si="32"/>
        <v>#REF!</v>
      </c>
      <c r="U60" s="115" t="e">
        <f t="shared" si="32"/>
        <v>#REF!</v>
      </c>
      <c r="V60" s="238"/>
      <c r="W60" s="238"/>
      <c r="X60" s="238"/>
      <c r="Y60" s="238"/>
      <c r="Z60" s="238"/>
      <c r="AA60" s="238"/>
      <c r="AB60" s="238"/>
      <c r="AC60" s="238"/>
      <c r="AD60" s="238"/>
    </row>
    <row r="61" spans="1:30" ht="12.75" hidden="1" customHeight="1"/>
    <row r="62" spans="1:30" ht="19.5" hidden="1" customHeight="1">
      <c r="I62" s="115" t="e">
        <f>I60/5.2</f>
        <v>#REF!</v>
      </c>
      <c r="J62" s="115" t="e">
        <f t="shared" ref="J62:U62" si="33">J60/5.2</f>
        <v>#REF!</v>
      </c>
      <c r="K62" s="115" t="e">
        <f t="shared" si="33"/>
        <v>#REF!</v>
      </c>
      <c r="L62" s="115"/>
      <c r="M62" s="115"/>
      <c r="N62" s="115"/>
      <c r="O62" s="115"/>
      <c r="P62" s="115"/>
      <c r="Q62" s="115"/>
      <c r="R62" s="115"/>
      <c r="S62" s="115" t="e">
        <f t="shared" si="33"/>
        <v>#REF!</v>
      </c>
      <c r="T62" s="115" t="e">
        <f t="shared" si="33"/>
        <v>#REF!</v>
      </c>
      <c r="U62" s="115" t="e">
        <f t="shared" si="33"/>
        <v>#REF!</v>
      </c>
      <c r="V62" s="238"/>
      <c r="W62" s="238"/>
      <c r="X62" s="238"/>
      <c r="Y62" s="238"/>
      <c r="Z62" s="238"/>
      <c r="AA62" s="238"/>
      <c r="AB62" s="238"/>
      <c r="AC62" s="238"/>
      <c r="AD62" s="238"/>
    </row>
    <row r="63" spans="1:30" ht="27.75" hidden="1" customHeight="1">
      <c r="J63" s="115" t="e">
        <f>SUM(I62:J62)</f>
        <v>#REF!</v>
      </c>
      <c r="T63" s="115" t="e">
        <f>SUM(K62:T62)</f>
        <v>#REF!</v>
      </c>
    </row>
    <row r="64" spans="1:30" ht="21" hidden="1" customHeight="1">
      <c r="I64" s="115" t="e">
        <f>I62</f>
        <v>#REF!</v>
      </c>
      <c r="J64" s="115" t="e">
        <f>J62+4</f>
        <v>#REF!</v>
      </c>
      <c r="K64" s="115" t="e">
        <f t="shared" ref="K64:U64" si="34">K62</f>
        <v>#REF!</v>
      </c>
      <c r="L64" s="115"/>
      <c r="M64" s="115"/>
      <c r="N64" s="115"/>
      <c r="O64" s="115"/>
      <c r="P64" s="115"/>
      <c r="Q64" s="115"/>
      <c r="R64" s="115"/>
      <c r="S64" s="115" t="e">
        <f>S62-9</f>
        <v>#REF!</v>
      </c>
      <c r="T64" s="115" t="e">
        <f>T62-45</f>
        <v>#REF!</v>
      </c>
      <c r="U64" s="115" t="e">
        <f t="shared" si="34"/>
        <v>#REF!</v>
      </c>
      <c r="V64" s="238"/>
      <c r="W64" s="238"/>
      <c r="X64" s="238"/>
      <c r="Y64" s="238"/>
      <c r="Z64" s="238"/>
      <c r="AA64" s="238"/>
      <c r="AB64" s="238"/>
      <c r="AC64" s="238"/>
      <c r="AD64" s="238"/>
    </row>
    <row r="65" spans="10:30" ht="32.25" hidden="1" customHeight="1">
      <c r="J65" s="115" t="e">
        <f>SUM(I64:J64)</f>
        <v>#REF!</v>
      </c>
      <c r="T65" s="115" t="e">
        <f>SUM(K64:T64)</f>
        <v>#REF!</v>
      </c>
    </row>
    <row r="66" spans="10:30" ht="12.75" hidden="1" customHeight="1"/>
    <row r="67" spans="10:30" ht="12.75" hidden="1" customHeight="1">
      <c r="J67">
        <f>J39/5.2</f>
        <v>0</v>
      </c>
      <c r="K67">
        <f>K39/5.2</f>
        <v>0</v>
      </c>
      <c r="S67">
        <f>S39/5.2</f>
        <v>42</v>
      </c>
      <c r="T67">
        <f>T39/5.2</f>
        <v>43</v>
      </c>
      <c r="U67">
        <f>U39/5.2</f>
        <v>44</v>
      </c>
    </row>
    <row r="68" spans="10:30" ht="12.75" hidden="1" customHeight="1">
      <c r="J68" s="247">
        <f>J18+J39</f>
        <v>104</v>
      </c>
      <c r="K68" s="247">
        <f>K18+K39</f>
        <v>26</v>
      </c>
      <c r="L68" s="247"/>
      <c r="M68" s="247"/>
      <c r="N68" s="247"/>
      <c r="O68" s="247"/>
      <c r="P68" s="247"/>
      <c r="Q68" s="247"/>
      <c r="R68" s="247"/>
      <c r="S68" s="247">
        <f>S18+S39</f>
        <v>223.6</v>
      </c>
      <c r="T68" s="247">
        <f>T18+T39</f>
        <v>223.60000000000002</v>
      </c>
      <c r="U68" s="247">
        <f>U18+U39</f>
        <v>239.20000000000002</v>
      </c>
      <c r="V68" s="247"/>
      <c r="W68" s="247"/>
      <c r="X68" s="247"/>
      <c r="Y68" s="247"/>
      <c r="Z68" s="247"/>
      <c r="AA68" s="247"/>
      <c r="AB68" s="247"/>
      <c r="AC68" s="247"/>
      <c r="AD68" s="247"/>
    </row>
    <row r="69" spans="10:30" ht="12.75" customHeight="1">
      <c r="P69" s="248"/>
      <c r="Q69" s="249"/>
    </row>
    <row r="70" spans="10:30" ht="12.75" customHeight="1">
      <c r="J70" s="247"/>
      <c r="K70" s="247"/>
      <c r="L70" s="247"/>
      <c r="M70" s="247"/>
      <c r="N70" s="247"/>
      <c r="O70" s="247"/>
      <c r="P70" s="247"/>
      <c r="Q70" s="247"/>
      <c r="R70" s="247"/>
      <c r="S70" s="247"/>
      <c r="T70" s="247"/>
      <c r="U70" s="247"/>
      <c r="V70" s="247"/>
      <c r="W70" s="247"/>
      <c r="X70" s="247"/>
      <c r="Y70" s="247"/>
      <c r="Z70" s="247"/>
      <c r="AA70" s="247"/>
      <c r="AB70" s="247"/>
      <c r="AC70" s="247"/>
      <c r="AD70" s="247"/>
    </row>
  </sheetData>
  <mergeCells count="96">
    <mergeCell ref="T47:T48"/>
    <mergeCell ref="U47:U48"/>
    <mergeCell ref="W47:X47"/>
    <mergeCell ref="Y47:Z47"/>
    <mergeCell ref="AA47:AB47"/>
    <mergeCell ref="AC47:AD47"/>
    <mergeCell ref="N47:N48"/>
    <mergeCell ref="O47:O48"/>
    <mergeCell ref="P47:P48"/>
    <mergeCell ref="Q47:Q48"/>
    <mergeCell ref="R47:R48"/>
    <mergeCell ref="S47:S48"/>
    <mergeCell ref="F47:F48"/>
    <mergeCell ref="G47:G48"/>
    <mergeCell ref="J47:J48"/>
    <mergeCell ref="K47:K48"/>
    <mergeCell ref="L47:L48"/>
    <mergeCell ref="M47:M48"/>
    <mergeCell ref="F44:F45"/>
    <mergeCell ref="J45:L45"/>
    <mergeCell ref="M45:O45"/>
    <mergeCell ref="P45:R45"/>
    <mergeCell ref="S45:U45"/>
    <mergeCell ref="A47:A48"/>
    <mergeCell ref="B47:B48"/>
    <mergeCell ref="C47:C48"/>
    <mergeCell ref="D47:D48"/>
    <mergeCell ref="E47:E48"/>
    <mergeCell ref="A41:AD41"/>
    <mergeCell ref="A42:D43"/>
    <mergeCell ref="E42:E43"/>
    <mergeCell ref="F42:F43"/>
    <mergeCell ref="J43:L43"/>
    <mergeCell ref="M43:O43"/>
    <mergeCell ref="P43:R43"/>
    <mergeCell ref="S43:U43"/>
    <mergeCell ref="W43:AD45"/>
    <mergeCell ref="A44:D45"/>
    <mergeCell ref="W29:X29"/>
    <mergeCell ref="Y29:Z29"/>
    <mergeCell ref="AA29:AB29"/>
    <mergeCell ref="AC29:AD29"/>
    <mergeCell ref="A39:D39"/>
    <mergeCell ref="A40:D40"/>
    <mergeCell ref="W40:AD40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A20:AD20"/>
    <mergeCell ref="AI20:AJ20"/>
    <mergeCell ref="A28:AD28"/>
    <mergeCell ref="A29:A30"/>
    <mergeCell ref="B29:B30"/>
    <mergeCell ref="C29:C30"/>
    <mergeCell ref="D29:D30"/>
    <mergeCell ref="E29:E30"/>
    <mergeCell ref="F29:F30"/>
    <mergeCell ref="G29:G30"/>
    <mergeCell ref="W3:X3"/>
    <mergeCell ref="Y3:Z3"/>
    <mergeCell ref="AA3:AB3"/>
    <mergeCell ref="AC3:AD3"/>
    <mergeCell ref="A18:D18"/>
    <mergeCell ref="A19:D19"/>
    <mergeCell ref="W19:AD19"/>
    <mergeCell ref="P3:P4"/>
    <mergeCell ref="Q3:Q4"/>
    <mergeCell ref="R3:R4"/>
    <mergeCell ref="S3:S4"/>
    <mergeCell ref="T3:T4"/>
    <mergeCell ref="U3:U4"/>
    <mergeCell ref="J3:J4"/>
    <mergeCell ref="K3:K4"/>
    <mergeCell ref="L3:L4"/>
    <mergeCell ref="M3:M4"/>
    <mergeCell ref="N3:N4"/>
    <mergeCell ref="O3:O4"/>
    <mergeCell ref="A2:N2"/>
    <mergeCell ref="O2:U2"/>
    <mergeCell ref="W2:AD2"/>
    <mergeCell ref="A3:A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 Wind Internal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Satwik Narwa</dc:creator>
  <cp:lastModifiedBy>Satwik Narwa</cp:lastModifiedBy>
  <dcterms:created xsi:type="dcterms:W3CDTF">2026-01-05T06:23:44Z</dcterms:created>
  <dcterms:modified xsi:type="dcterms:W3CDTF">2026-01-05T06:24:46Z</dcterms:modified>
</cp:coreProperties>
</file>