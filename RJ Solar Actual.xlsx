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wi\Downloads\"/>
    </mc:Choice>
  </mc:AlternateContent>
  <xr:revisionPtr revIDLastSave="0" documentId="8_{F6F18DE1-5F89-4BF4-AF4B-C7798DDB48C6}" xr6:coauthVersionLast="47" xr6:coauthVersionMax="47" xr10:uidLastSave="{00000000-0000-0000-0000-000000000000}"/>
  <bookViews>
    <workbookView xWindow="-108" yWindow="-108" windowWidth="23256" windowHeight="13176" xr2:uid="{571E469C-56EA-4E24-97EB-8234DAF46E5D}"/>
  </bookViews>
  <sheets>
    <sheet name=" RJ Solar - Actua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8" i="1" l="1"/>
  <c r="Z8" i="1"/>
  <c r="Y8" i="1"/>
  <c r="X8" i="1"/>
  <c r="W8" i="1"/>
  <c r="V8" i="1"/>
  <c r="U8" i="1"/>
  <c r="T8" i="1"/>
  <c r="S8" i="1"/>
  <c r="R8" i="1"/>
  <c r="Q8" i="1"/>
  <c r="P8" i="1"/>
  <c r="O8" i="1"/>
  <c r="N8" i="1"/>
  <c r="G8" i="1"/>
  <c r="AC7" i="1"/>
  <c r="K7" i="1"/>
  <c r="I7" i="1"/>
  <c r="I6" i="1"/>
  <c r="I5" i="1"/>
  <c r="I4" i="1"/>
  <c r="I3" i="1"/>
  <c r="I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tc={EA282B7E-FB9B-4BFB-9014-E6C309B3BD9B}</author>
  </authors>
  <commentList>
    <comment ref="H5" authorId="0" shapeId="0" xr:uid="{5391FDFC-F46E-40F0-B718-C63CEE8C3991}">
      <text>
        <r>
          <rPr>
            <sz val="10"/>
            <color theme="1"/>
            <rFont val="Adani Regular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1.373</t>
        </r>
      </text>
    </comment>
  </commentList>
</comments>
</file>

<file path=xl/sharedStrings.xml><?xml version="1.0" encoding="utf-8"?>
<sst xmlns="http://schemas.openxmlformats.org/spreadsheetml/2006/main" count="47" uniqueCount="39">
  <si>
    <t>FY 2025-26 | RJ &amp; AP Solar Projects Monthly Commissioning Plan (MWac)</t>
  </si>
  <si>
    <t>Date: 26-Dec-25</t>
  </si>
  <si>
    <t>Priority</t>
  </si>
  <si>
    <t>Project</t>
  </si>
  <si>
    <t>SPV</t>
  </si>
  <si>
    <t>Location</t>
  </si>
  <si>
    <t>Category</t>
  </si>
  <si>
    <t>MMS Type</t>
  </si>
  <si>
    <t>Capacity
(MWac)</t>
  </si>
  <si>
    <t>OL</t>
  </si>
  <si>
    <t>Capacity (MWdc)</t>
  </si>
  <si>
    <t>SCOD</t>
  </si>
  <si>
    <t>Commissioning as per Business Plan</t>
  </si>
  <si>
    <t>Capex BOQ Release Date</t>
  </si>
  <si>
    <t>Till Feb-25</t>
  </si>
  <si>
    <t>Ambuja Cement Limited</t>
  </si>
  <si>
    <t>ACL</t>
  </si>
  <si>
    <t>Essel Park</t>
  </si>
  <si>
    <t>Group</t>
  </si>
  <si>
    <t>FT</t>
  </si>
  <si>
    <t>NA</t>
  </si>
  <si>
    <t>Ultratech</t>
  </si>
  <si>
    <t>ASEJ6PL</t>
  </si>
  <si>
    <t>Bap</t>
  </si>
  <si>
    <t>Merchant</t>
  </si>
  <si>
    <t>HSAT</t>
  </si>
  <si>
    <t>NHPC BOO</t>
  </si>
  <si>
    <t>ASEB1PL</t>
  </si>
  <si>
    <t>Baiya</t>
  </si>
  <si>
    <t>PPA</t>
  </si>
  <si>
    <t>Extension awaited</t>
  </si>
  <si>
    <t>Capex Approved</t>
  </si>
  <si>
    <t>MLP AP NEW</t>
  </si>
  <si>
    <t>AGE26BL</t>
  </si>
  <si>
    <t>Bandha</t>
  </si>
  <si>
    <t>MLP T1</t>
  </si>
  <si>
    <t>AGE25BL</t>
  </si>
  <si>
    <t>LTA+60 Days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</si>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</sst>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4"/>
      <name val="Adani Regular"/>
      <family val="2"/>
    </font>
    <font>
      <b/>
      <sz val="10"/>
      <color theme="1"/>
      <name val="Adani Regular"/>
      <family val="2"/>
    </font>
    <font>
      <b/>
      <sz val="12"/>
      <color rgb="FFFF0000"/>
      <name val="Adani Regular"/>
    </font>
    <font>
      <sz val="12"/>
      <name val="Adani Regular"/>
    </font>
    <font>
      <sz val="12"/>
      <name val="Adani Regular"/>
      <family val="2"/>
    </font>
    <font>
      <b/>
      <sz val="10"/>
      <color theme="0"/>
      <name val="Adani Regular"/>
      <family val="2"/>
    </font>
    <font>
      <b/>
      <sz val="10"/>
      <color theme="0"/>
      <name val="Adani Regular"/>
    </font>
    <font>
      <sz val="10"/>
      <color rgb="FF00B050"/>
      <name val="Adani Regular"/>
      <family val="2"/>
    </font>
    <font>
      <sz val="10"/>
      <name val="Adani Regular"/>
      <family val="2"/>
    </font>
    <font>
      <b/>
      <sz val="10"/>
      <color rgb="FF00B050"/>
      <name val="Adani Regular"/>
      <family val="2"/>
    </font>
    <font>
      <sz val="10"/>
      <color theme="1"/>
      <name val="Adani Regular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/>
    </xf>
    <xf numFmtId="15" fontId="0" fillId="0" borderId="0" xfId="0" applyNumberFormat="1"/>
    <xf numFmtId="1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17" fontId="7" fillId="2" borderId="5" xfId="0" applyNumberFormat="1" applyFont="1" applyFill="1" applyBorder="1" applyAlignment="1">
      <alignment horizontal="center" vertical="center" wrapText="1"/>
    </xf>
    <xf numFmtId="17" fontId="6" fillId="2" borderId="5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7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5" fontId="0" fillId="0" borderId="7" xfId="0" applyNumberForma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0" fillId="0" borderId="0" xfId="0" applyAlignment="1">
      <alignment vertical="center"/>
    </xf>
    <xf numFmtId="15" fontId="0" fillId="0" borderId="8" xfId="0" applyNumberFormat="1" applyBorder="1" applyAlignment="1">
      <alignment horizontal="center" vertical="center" wrapText="1"/>
    </xf>
    <xf numFmtId="17" fontId="0" fillId="0" borderId="8" xfId="0" applyNumberFormat="1" applyBorder="1" applyAlignment="1">
      <alignment horizontal="center" vertical="center"/>
    </xf>
    <xf numFmtId="15" fontId="0" fillId="0" borderId="8" xfId="0" applyNumberForma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" fontId="2" fillId="0" borderId="12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5" fontId="2" fillId="0" borderId="12" xfId="0" applyNumberFormat="1" applyFont="1" applyBorder="1" applyAlignment="1">
      <alignment horizontal="center" vertical="center"/>
    </xf>
    <xf numFmtId="1" fontId="10" fillId="0" borderId="1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E5C6-D8BF-4D8C-B5F2-58F7D119B3C9}">
  <dimension ref="A1:AC37"/>
  <sheetViews>
    <sheetView tabSelected="1" workbookViewId="0">
      <selection activeCell="D39" sqref="D39"/>
    </sheetView>
  </sheetViews>
  <sheetFormatPr defaultRowHeight="14.4"/>
  <cols>
    <col min="1" max="1" width="8.5546875" customWidth="1"/>
    <col min="2" max="2" width="16.5546875" customWidth="1"/>
    <col min="3" max="3" width="12.109375" customWidth="1"/>
    <col min="4" max="4" width="13.88671875" customWidth="1"/>
    <col min="5" max="5" width="10.33203125" style="2" customWidth="1"/>
    <col min="6" max="6" width="7.5546875" style="2" customWidth="1"/>
    <col min="7" max="7" width="9.44140625" customWidth="1"/>
    <col min="8" max="8" width="7.44140625" customWidth="1"/>
    <col min="9" max="9" width="10.33203125" customWidth="1"/>
    <col min="10" max="10" width="18.44140625" style="2" hidden="1" customWidth="1"/>
    <col min="11" max="13" width="14.44140625" style="2" hidden="1" customWidth="1"/>
    <col min="14" max="14" width="8.88671875" style="2"/>
    <col min="15" max="15" width="7.5546875" style="2" customWidth="1"/>
    <col min="16" max="27" width="7.5546875" customWidth="1"/>
  </cols>
  <sheetData>
    <row r="1" spans="1:29" s="4" customFormat="1" ht="17.399999999999999">
      <c r="A1" s="1" t="s">
        <v>0</v>
      </c>
      <c r="B1"/>
      <c r="C1"/>
      <c r="D1"/>
      <c r="E1" s="2"/>
      <c r="F1" s="2"/>
      <c r="G1"/>
      <c r="H1"/>
      <c r="I1"/>
      <c r="J1" s="3"/>
      <c r="K1" s="3"/>
      <c r="L1" s="3"/>
      <c r="M1" s="3"/>
      <c r="N1" s="3"/>
      <c r="O1" s="3"/>
      <c r="U1" s="5"/>
      <c r="V1" s="5"/>
      <c r="W1" s="5"/>
      <c r="X1" s="5"/>
      <c r="Y1" s="5"/>
      <c r="Z1" s="6" t="s">
        <v>1</v>
      </c>
      <c r="AA1" s="7"/>
    </row>
    <row r="2" spans="1:29" ht="39.6">
      <c r="A2" s="8" t="s">
        <v>2</v>
      </c>
      <c r="B2" s="9" t="s">
        <v>3</v>
      </c>
      <c r="C2" s="9" t="s">
        <v>4</v>
      </c>
      <c r="D2" s="9" t="s">
        <v>5</v>
      </c>
      <c r="E2" s="9" t="s">
        <v>6</v>
      </c>
      <c r="F2" s="9" t="s">
        <v>7</v>
      </c>
      <c r="G2" s="9" t="s">
        <v>8</v>
      </c>
      <c r="H2" s="9" t="s">
        <v>9</v>
      </c>
      <c r="I2" s="9" t="s">
        <v>10</v>
      </c>
      <c r="J2" s="9" t="s">
        <v>11</v>
      </c>
      <c r="K2" s="10" t="s">
        <v>12</v>
      </c>
      <c r="L2" s="11" t="s">
        <v>13</v>
      </c>
      <c r="M2" s="12"/>
      <c r="N2" s="13" t="s">
        <v>14</v>
      </c>
      <c r="O2" s="13">
        <v>45717</v>
      </c>
      <c r="P2" s="13">
        <v>45748</v>
      </c>
      <c r="Q2" s="13">
        <v>45778</v>
      </c>
      <c r="R2" s="13">
        <v>45809</v>
      </c>
      <c r="S2" s="13">
        <v>45839</v>
      </c>
      <c r="T2" s="13">
        <v>45870</v>
      </c>
      <c r="U2" s="13">
        <v>45901</v>
      </c>
      <c r="V2" s="14">
        <v>45931</v>
      </c>
      <c r="W2" s="13">
        <v>45962</v>
      </c>
      <c r="X2" s="13">
        <v>45992</v>
      </c>
      <c r="Y2" s="13">
        <v>46023</v>
      </c>
      <c r="Z2" s="13">
        <v>46054</v>
      </c>
      <c r="AA2" s="13">
        <v>46082</v>
      </c>
    </row>
    <row r="3" spans="1:29" s="25" customFormat="1">
      <c r="A3" s="15">
        <v>1</v>
      </c>
      <c r="B3" s="16" t="s">
        <v>15</v>
      </c>
      <c r="C3" s="16" t="s">
        <v>16</v>
      </c>
      <c r="D3" s="16" t="s">
        <v>17</v>
      </c>
      <c r="E3" s="17" t="s">
        <v>18</v>
      </c>
      <c r="F3" s="17" t="s">
        <v>19</v>
      </c>
      <c r="G3" s="17">
        <v>300</v>
      </c>
      <c r="H3" s="17">
        <v>1.42</v>
      </c>
      <c r="I3" s="18">
        <f>H3*G3</f>
        <v>426</v>
      </c>
      <c r="J3" s="19" t="s">
        <v>20</v>
      </c>
      <c r="K3" s="20">
        <v>45838</v>
      </c>
      <c r="L3" s="19"/>
      <c r="M3" s="19"/>
      <c r="N3" s="21"/>
      <c r="O3" s="22"/>
      <c r="P3" s="23"/>
      <c r="Q3" s="23"/>
      <c r="R3" s="23"/>
      <c r="S3" s="23"/>
      <c r="T3" s="24">
        <v>150</v>
      </c>
      <c r="U3" s="21"/>
      <c r="V3" s="21"/>
      <c r="W3" s="21"/>
      <c r="X3" s="17">
        <v>150</v>
      </c>
      <c r="Y3" s="17"/>
      <c r="Z3" s="17"/>
      <c r="AA3" s="21"/>
    </row>
    <row r="4" spans="1:29" s="25" customFormat="1">
      <c r="A4" s="15">
        <v>2</v>
      </c>
      <c r="B4" s="16" t="s">
        <v>21</v>
      </c>
      <c r="C4" s="16" t="s">
        <v>22</v>
      </c>
      <c r="D4" s="16" t="s">
        <v>23</v>
      </c>
      <c r="E4" s="17" t="s">
        <v>24</v>
      </c>
      <c r="F4" s="17" t="s">
        <v>25</v>
      </c>
      <c r="G4" s="17">
        <v>50</v>
      </c>
      <c r="H4" s="17">
        <v>1.37</v>
      </c>
      <c r="I4" s="18">
        <f>H4*G4</f>
        <v>68.5</v>
      </c>
      <c r="J4" s="19" t="s">
        <v>20</v>
      </c>
      <c r="K4" s="20">
        <v>45838</v>
      </c>
      <c r="L4" s="19"/>
      <c r="M4" s="19"/>
      <c r="N4" s="21"/>
      <c r="O4" s="22"/>
      <c r="P4" s="23"/>
      <c r="Q4" s="23"/>
      <c r="R4" s="23">
        <v>50</v>
      </c>
      <c r="S4" s="23"/>
      <c r="T4" s="24"/>
      <c r="U4" s="21"/>
      <c r="V4" s="22"/>
      <c r="W4" s="17"/>
      <c r="X4" s="17"/>
      <c r="Y4" s="17"/>
      <c r="Z4" s="17"/>
      <c r="AA4" s="21"/>
    </row>
    <row r="5" spans="1:29" s="25" customFormat="1">
      <c r="A5" s="15">
        <v>3</v>
      </c>
      <c r="B5" s="16" t="s">
        <v>26</v>
      </c>
      <c r="C5" s="16" t="s">
        <v>27</v>
      </c>
      <c r="D5" s="16" t="s">
        <v>28</v>
      </c>
      <c r="E5" s="17" t="s">
        <v>29</v>
      </c>
      <c r="F5" s="17" t="s">
        <v>19</v>
      </c>
      <c r="G5" s="17">
        <v>600</v>
      </c>
      <c r="H5" s="17">
        <v>1.36</v>
      </c>
      <c r="I5" s="18">
        <f>H5*G5</f>
        <v>816.00000000000011</v>
      </c>
      <c r="J5" s="26" t="s">
        <v>30</v>
      </c>
      <c r="K5" s="27">
        <v>46081</v>
      </c>
      <c r="L5" s="28" t="s">
        <v>31</v>
      </c>
      <c r="M5" s="28"/>
      <c r="N5" s="21"/>
      <c r="O5" s="22"/>
      <c r="P5" s="23"/>
      <c r="Q5" s="23"/>
      <c r="R5" s="23"/>
      <c r="S5" s="23"/>
      <c r="T5" s="24"/>
      <c r="U5" s="21"/>
      <c r="V5" s="22"/>
      <c r="W5" s="17"/>
      <c r="X5" s="17"/>
      <c r="Y5" s="17"/>
      <c r="Z5" s="17"/>
      <c r="AA5" s="21">
        <v>300</v>
      </c>
    </row>
    <row r="6" spans="1:29" s="25" customFormat="1">
      <c r="A6" s="15">
        <v>4</v>
      </c>
      <c r="B6" s="16" t="s">
        <v>32</v>
      </c>
      <c r="C6" s="16" t="s">
        <v>33</v>
      </c>
      <c r="D6" s="16" t="s">
        <v>34</v>
      </c>
      <c r="E6" s="17" t="s">
        <v>29</v>
      </c>
      <c r="F6" s="17" t="s">
        <v>25</v>
      </c>
      <c r="G6" s="17">
        <v>534</v>
      </c>
      <c r="H6" s="17">
        <v>1.37</v>
      </c>
      <c r="I6" s="18">
        <f>H6*G6</f>
        <v>731.58</v>
      </c>
      <c r="J6" s="22">
        <v>46296</v>
      </c>
      <c r="K6" s="20">
        <v>45930</v>
      </c>
      <c r="L6" s="22" t="s">
        <v>31</v>
      </c>
      <c r="M6" s="28"/>
      <c r="N6" s="21"/>
      <c r="O6" s="22"/>
      <c r="P6" s="23"/>
      <c r="Q6" s="23"/>
      <c r="R6" s="23"/>
      <c r="S6" s="23"/>
      <c r="T6" s="24"/>
      <c r="U6" s="21"/>
      <c r="V6" s="22"/>
      <c r="W6" s="21"/>
      <c r="X6" s="17"/>
      <c r="Y6" s="17"/>
      <c r="Z6" s="17"/>
      <c r="AA6" s="29"/>
    </row>
    <row r="7" spans="1:29" s="25" customFormat="1">
      <c r="A7" s="15">
        <v>5</v>
      </c>
      <c r="B7" s="16" t="s">
        <v>35</v>
      </c>
      <c r="C7" s="16" t="s">
        <v>36</v>
      </c>
      <c r="D7" s="16" t="s">
        <v>34</v>
      </c>
      <c r="E7" s="17" t="s">
        <v>29</v>
      </c>
      <c r="F7" s="17" t="s">
        <v>19</v>
      </c>
      <c r="G7" s="17">
        <v>500</v>
      </c>
      <c r="H7" s="17">
        <v>1.39</v>
      </c>
      <c r="I7" s="18">
        <f>H7*G7</f>
        <v>695</v>
      </c>
      <c r="J7" s="22" t="s">
        <v>37</v>
      </c>
      <c r="K7" s="20">
        <f>K5</f>
        <v>46081</v>
      </c>
      <c r="L7" s="22">
        <v>45608</v>
      </c>
      <c r="M7" s="28"/>
      <c r="N7" s="21"/>
      <c r="O7" s="22"/>
      <c r="P7" s="23"/>
      <c r="Q7" s="23"/>
      <c r="R7" s="23"/>
      <c r="S7" s="23"/>
      <c r="T7" s="24"/>
      <c r="U7" s="21"/>
      <c r="V7" s="21"/>
      <c r="W7" s="17"/>
      <c r="X7" s="17"/>
      <c r="Y7" s="17"/>
      <c r="Z7" s="17"/>
      <c r="AA7" s="29">
        <v>250</v>
      </c>
      <c r="AB7" s="25">
        <v>1034</v>
      </c>
      <c r="AC7" s="25">
        <f>AB7-AA7-AA5</f>
        <v>484</v>
      </c>
    </row>
    <row r="8" spans="1:29" s="4" customFormat="1" ht="13.2">
      <c r="A8" s="30" t="s">
        <v>38</v>
      </c>
      <c r="B8" s="31"/>
      <c r="C8" s="31"/>
      <c r="D8" s="31"/>
      <c r="E8" s="31"/>
      <c r="F8" s="32"/>
      <c r="G8" s="33">
        <f>SUM(G3:G7)</f>
        <v>1984</v>
      </c>
      <c r="H8" s="34"/>
      <c r="I8" s="33">
        <f>SUM(I3:I7)</f>
        <v>2737.08</v>
      </c>
      <c r="J8" s="35"/>
      <c r="K8" s="35"/>
      <c r="L8" s="35"/>
      <c r="M8" s="35"/>
      <c r="N8" s="33">
        <f t="shared" ref="N8:AA8" si="0">SUM(N3:N7)</f>
        <v>0</v>
      </c>
      <c r="O8" s="33">
        <f>SUM(O3:O7)</f>
        <v>0</v>
      </c>
      <c r="P8" s="36">
        <f t="shared" si="0"/>
        <v>0</v>
      </c>
      <c r="Q8" s="36">
        <f t="shared" si="0"/>
        <v>0</v>
      </c>
      <c r="R8" s="36">
        <f t="shared" si="0"/>
        <v>50</v>
      </c>
      <c r="S8" s="36">
        <f t="shared" si="0"/>
        <v>0</v>
      </c>
      <c r="T8" s="36">
        <f t="shared" si="0"/>
        <v>150</v>
      </c>
      <c r="U8" s="33">
        <f t="shared" si="0"/>
        <v>0</v>
      </c>
      <c r="V8" s="33">
        <f t="shared" si="0"/>
        <v>0</v>
      </c>
      <c r="W8" s="33">
        <f t="shared" si="0"/>
        <v>0</v>
      </c>
      <c r="X8" s="33">
        <f t="shared" si="0"/>
        <v>150</v>
      </c>
      <c r="Y8" s="33">
        <f t="shared" si="0"/>
        <v>0</v>
      </c>
      <c r="Z8" s="33">
        <f t="shared" si="0"/>
        <v>0</v>
      </c>
      <c r="AA8" s="33">
        <f t="shared" si="0"/>
        <v>550</v>
      </c>
    </row>
    <row r="9" spans="1:29">
      <c r="A9" s="37"/>
      <c r="B9" s="38"/>
      <c r="C9" s="38"/>
      <c r="D9" s="38"/>
      <c r="E9" s="38"/>
      <c r="F9" s="38"/>
      <c r="G9" s="38"/>
      <c r="H9" s="38"/>
      <c r="I9" s="38"/>
    </row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</sheetData>
  <mergeCells count="2">
    <mergeCell ref="A8:F8"/>
    <mergeCell ref="B9:I9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RJ Solar - Actual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Satwik Narwa</dc:creator>
  <cp:lastModifiedBy>Satwik Narwa</cp:lastModifiedBy>
  <dcterms:created xsi:type="dcterms:W3CDTF">2026-01-05T06:14:23Z</dcterms:created>
  <dcterms:modified xsi:type="dcterms:W3CDTF">2026-01-05T06:23:01Z</dcterms:modified>
</cp:coreProperties>
</file>