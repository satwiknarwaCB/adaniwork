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twi\Downloads\"/>
    </mc:Choice>
  </mc:AlternateContent>
  <xr:revisionPtr revIDLastSave="0" documentId="8_{D46E87B7-2163-425C-8CAF-97918066C18C}" xr6:coauthVersionLast="47" xr6:coauthVersionMax="47" xr10:uidLastSave="{00000000-0000-0000-0000-000000000000}"/>
  <bookViews>
    <workbookView xWindow="-108" yWindow="-108" windowWidth="23256" windowHeight="13176" xr2:uid="{9735B59A-F361-4636-87FA-C69833570222}"/>
  </bookViews>
  <sheets>
    <sheet name="KH Wind Actua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7" i="1" l="1"/>
  <c r="I37" i="1"/>
  <c r="J36" i="1"/>
  <c r="I36" i="1"/>
  <c r="I35" i="1"/>
  <c r="J34" i="1"/>
  <c r="G30" i="1"/>
  <c r="P28" i="1"/>
  <c r="P30" i="1" s="1"/>
  <c r="O28" i="1"/>
  <c r="N28" i="1"/>
  <c r="N30" i="1" s="1"/>
  <c r="M28" i="1"/>
  <c r="M30" i="1" s="1"/>
  <c r="L28" i="1"/>
  <c r="L30" i="1" s="1"/>
  <c r="K28" i="1"/>
  <c r="K30" i="1" s="1"/>
  <c r="J28" i="1"/>
  <c r="I28" i="1"/>
  <c r="I30" i="1" s="1"/>
  <c r="H28" i="1"/>
  <c r="H30" i="1" s="1"/>
  <c r="Q27" i="1"/>
  <c r="E27" i="1"/>
  <c r="F27" i="1" s="1"/>
  <c r="S26" i="1"/>
  <c r="R26" i="1"/>
  <c r="Q26" i="1"/>
  <c r="E26" i="1"/>
  <c r="F26" i="1" s="1"/>
  <c r="S25" i="1"/>
  <c r="E25" i="1"/>
  <c r="F25" i="1" s="1"/>
  <c r="S24" i="1"/>
  <c r="S23" i="1" s="1"/>
  <c r="R24" i="1"/>
  <c r="R23" i="1" s="1"/>
  <c r="Q24" i="1"/>
  <c r="Q28" i="1" s="1"/>
  <c r="E24" i="1"/>
  <c r="F24" i="1" s="1"/>
  <c r="Q23" i="1"/>
  <c r="P23" i="1"/>
  <c r="O23" i="1"/>
  <c r="N23" i="1"/>
  <c r="M23" i="1"/>
  <c r="L23" i="1"/>
  <c r="K23" i="1"/>
  <c r="J23" i="1"/>
  <c r="I23" i="1"/>
  <c r="H23" i="1"/>
  <c r="E23" i="1" s="1"/>
  <c r="N17" i="1"/>
  <c r="M17" i="1"/>
  <c r="M19" i="1" s="1"/>
  <c r="L17" i="1"/>
  <c r="L19" i="1" s="1"/>
  <c r="I17" i="1"/>
  <c r="I19" i="1" s="1"/>
  <c r="S16" i="1"/>
  <c r="R16" i="1"/>
  <c r="E16" i="1" s="1"/>
  <c r="F16" i="1" s="1"/>
  <c r="S15" i="1"/>
  <c r="R15" i="1"/>
  <c r="Q15" i="1"/>
  <c r="E15" i="1"/>
  <c r="F15" i="1" s="1"/>
  <c r="S14" i="1"/>
  <c r="P14" i="1"/>
  <c r="P17" i="1" s="1"/>
  <c r="P19" i="1" s="1"/>
  <c r="O14" i="1"/>
  <c r="E14" i="1" s="1"/>
  <c r="F14" i="1" s="1"/>
  <c r="N14" i="1"/>
  <c r="S13" i="1"/>
  <c r="S17" i="1" s="1"/>
  <c r="S19" i="1" s="1"/>
  <c r="R13" i="1"/>
  <c r="Q13" i="1"/>
  <c r="E13" i="1" s="1"/>
  <c r="F13" i="1" s="1"/>
  <c r="K12" i="1"/>
  <c r="E12" i="1"/>
  <c r="F12" i="1" s="1"/>
  <c r="K11" i="1"/>
  <c r="E11" i="1"/>
  <c r="F11" i="1" s="1"/>
  <c r="O10" i="1"/>
  <c r="L10" i="1"/>
  <c r="E10" i="1" s="1"/>
  <c r="F10" i="1" s="1"/>
  <c r="Q9" i="1"/>
  <c r="Q17" i="1" s="1"/>
  <c r="O9" i="1"/>
  <c r="O17" i="1" s="1"/>
  <c r="O19" i="1" s="1"/>
  <c r="M9" i="1"/>
  <c r="E9" i="1"/>
  <c r="F9" i="1" s="1"/>
  <c r="R8" i="1"/>
  <c r="E8" i="1" s="1"/>
  <c r="F8" i="1" s="1"/>
  <c r="K8" i="1"/>
  <c r="K17" i="1" s="1"/>
  <c r="J8" i="1"/>
  <c r="J7" i="1"/>
  <c r="H7" i="1"/>
  <c r="E7" i="1" s="1"/>
  <c r="F7" i="1" s="1"/>
  <c r="J6" i="1"/>
  <c r="J17" i="1" s="1"/>
  <c r="J19" i="1" s="1"/>
  <c r="E6" i="1"/>
  <c r="F6" i="1" s="1"/>
  <c r="H5" i="1"/>
  <c r="H17" i="1" s="1"/>
  <c r="E5" i="1"/>
  <c r="F5" i="1" s="1"/>
  <c r="Q19" i="1" l="1"/>
  <c r="F28" i="1"/>
  <c r="F30" i="1" s="1"/>
  <c r="J30" i="1"/>
  <c r="N18" i="1"/>
  <c r="E28" i="1"/>
  <c r="E30" i="1" s="1"/>
  <c r="F23" i="1"/>
  <c r="K19" i="1"/>
  <c r="K20" i="1" s="1"/>
  <c r="K18" i="1"/>
  <c r="Q30" i="1"/>
  <c r="F19" i="1"/>
  <c r="H18" i="1"/>
  <c r="H19" i="1"/>
  <c r="H20" i="1" s="1"/>
  <c r="O30" i="1"/>
  <c r="E17" i="1"/>
  <c r="N19" i="1"/>
  <c r="N20" i="1" s="1"/>
  <c r="R17" i="1"/>
  <c r="R19" i="1" s="1"/>
  <c r="R28" i="1"/>
  <c r="R30" i="1" s="1"/>
  <c r="S28" i="1"/>
  <c r="S30" i="1" s="1"/>
  <c r="Q18" i="1" l="1"/>
  <c r="Q20" i="1"/>
</calcChain>
</file>

<file path=xl/sharedStrings.xml><?xml version="1.0" encoding="utf-8"?>
<sst xmlns="http://schemas.openxmlformats.org/spreadsheetml/2006/main" count="90" uniqueCount="55">
  <si>
    <t>Out of 57.2 MW (11 WTGs), 7 WTG TR Done in Nov-25, but COD in Dec-25</t>
  </si>
  <si>
    <t>Forecast</t>
  </si>
  <si>
    <t>Actual</t>
  </si>
  <si>
    <t>FY 2025-26 | Khavda Wind Projects Monthly Commissioning Plan (MWac)</t>
  </si>
  <si>
    <t>Date: 30-Dec-25</t>
  </si>
  <si>
    <t>Sl.</t>
  </si>
  <si>
    <t>Project</t>
  </si>
  <si>
    <t>SPV</t>
  </si>
  <si>
    <t>Category</t>
  </si>
  <si>
    <t>Capacity
(MW)</t>
  </si>
  <si>
    <t>WTG Nos.</t>
  </si>
  <si>
    <t>PSS No.</t>
  </si>
  <si>
    <t>AGEL Merchant (Wind)</t>
  </si>
  <si>
    <t>AGE24L</t>
  </si>
  <si>
    <t>Merchant</t>
  </si>
  <si>
    <t>PSS-04</t>
  </si>
  <si>
    <t>Hybrid Cement (Wind)</t>
  </si>
  <si>
    <t>ACL</t>
  </si>
  <si>
    <t>Group</t>
  </si>
  <si>
    <t>AHEJ5L</t>
  </si>
  <si>
    <t>AGEL Hybrid Merchant (Wind)</t>
  </si>
  <si>
    <t>AGE26BL</t>
  </si>
  <si>
    <t>PSS-10</t>
  </si>
  <si>
    <t>PSS-08</t>
  </si>
  <si>
    <t>ARE41L</t>
  </si>
  <si>
    <t>Google Hybrid (Wind)</t>
  </si>
  <si>
    <t>ARE3L</t>
  </si>
  <si>
    <t>ASEJ6PL</t>
  </si>
  <si>
    <t>SECI H-3 (Wind)</t>
  </si>
  <si>
    <t>PPA</t>
  </si>
  <si>
    <t>PSS-05</t>
  </si>
  <si>
    <t>11a</t>
  </si>
  <si>
    <t>AGE25CL</t>
  </si>
  <si>
    <t>PSS-11</t>
  </si>
  <si>
    <t>12a</t>
  </si>
  <si>
    <t>AGE26AL</t>
  </si>
  <si>
    <t>PSS-12</t>
  </si>
  <si>
    <t>Total - MW</t>
  </si>
  <si>
    <t>Total - WTG</t>
  </si>
  <si>
    <t>Additional for internal</t>
  </si>
  <si>
    <t>11b</t>
  </si>
  <si>
    <t>PSS-14</t>
  </si>
  <si>
    <t>12b</t>
  </si>
  <si>
    <t>AGEL Merchant</t>
  </si>
  <si>
    <t>AGE25BL</t>
  </si>
  <si>
    <t>PSS-09</t>
  </si>
  <si>
    <t>Total (for Internal)</t>
  </si>
  <si>
    <t>Mwac</t>
  </si>
  <si>
    <t>WTG</t>
  </si>
  <si>
    <t>Budget Plan</t>
  </si>
  <si>
    <t>Internal Plan</t>
  </si>
  <si>
    <t>Actual YTD Dec-25</t>
  </si>
  <si>
    <t>Balance Budget</t>
  </si>
  <si>
    <t>Balance Internal</t>
  </si>
  <si>
    <t>x`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</si>
</sst>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>
    <font>
      <sz val="11"/>
      <color theme="1"/>
      <name val="Calibri"/>
      <family val="2"/>
      <scheme val="minor"/>
    </font>
    <font>
      <b/>
      <sz val="10"/>
      <color theme="1"/>
      <name val="Adani Regular"/>
    </font>
    <font>
      <b/>
      <sz val="10"/>
      <color rgb="FF0070C0"/>
      <name val="Adani Regular"/>
    </font>
    <font>
      <b/>
      <sz val="10"/>
      <color rgb="FF00B050"/>
      <name val="Adani Regular"/>
    </font>
    <font>
      <b/>
      <sz val="14"/>
      <name val="Adani Regular"/>
      <family val="2"/>
    </font>
    <font>
      <b/>
      <sz val="10"/>
      <color theme="1"/>
      <name val="Adani Regular"/>
      <family val="2"/>
    </font>
    <font>
      <b/>
      <sz val="12"/>
      <color rgb="FFFF0000"/>
      <name val="Adani Regular"/>
    </font>
    <font>
      <sz val="12"/>
      <name val="Adani Regular"/>
    </font>
    <font>
      <sz val="12"/>
      <name val="Adani Regular"/>
      <family val="2"/>
    </font>
    <font>
      <b/>
      <sz val="10"/>
      <color theme="0"/>
      <name val="Adani Regular"/>
      <family val="2"/>
    </font>
    <font>
      <b/>
      <sz val="10"/>
      <name val="Adani Regular"/>
    </font>
    <font>
      <b/>
      <sz val="12"/>
      <color theme="1"/>
      <name val="Adani Regular"/>
    </font>
    <font>
      <sz val="10"/>
      <name val="Adani Regular"/>
      <family val="2"/>
    </font>
    <font>
      <i/>
      <sz val="9"/>
      <color theme="1"/>
      <name val="Adani Regular"/>
    </font>
    <font>
      <i/>
      <sz val="9"/>
      <name val="Adani Regular"/>
    </font>
    <font>
      <sz val="10"/>
      <color rgb="FF0070C0"/>
      <name val="Adani Regula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5" fontId="1" fillId="0" borderId="0" xfId="0" applyNumberFormat="1" applyFont="1" applyAlignment="1">
      <alignment vertical="center"/>
    </xf>
    <xf numFmtId="0" fontId="1" fillId="2" borderId="0" xfId="0" applyFont="1" applyFill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15" fontId="0" fillId="0" borderId="1" xfId="0" applyNumberFormat="1" applyBorder="1" applyAlignment="1">
      <alignment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15" fontId="0" fillId="0" borderId="4" xfId="0" applyNumberFormat="1" applyBorder="1" applyAlignment="1">
      <alignment vertical="center"/>
    </xf>
    <xf numFmtId="0" fontId="0" fillId="0" borderId="4" xfId="0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8" fillId="0" borderId="6" xfId="0" applyFont="1" applyBorder="1" applyAlignment="1">
      <alignment horizontal="right" vertical="center"/>
    </xf>
    <xf numFmtId="0" fontId="9" fillId="3" borderId="7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17" fontId="9" fillId="3" borderId="8" xfId="0" applyNumberFormat="1" applyFont="1" applyFill="1" applyBorder="1" applyAlignment="1">
      <alignment horizontal="center" vertical="center" wrapText="1"/>
    </xf>
    <xf numFmtId="17" fontId="9" fillId="3" borderId="9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64" fontId="3" fillId="0" borderId="15" xfId="0" applyNumberFormat="1" applyFont="1" applyBorder="1" applyAlignment="1">
      <alignment horizontal="center" vertical="center"/>
    </xf>
    <xf numFmtId="1" fontId="2" fillId="0" borderId="15" xfId="0" applyNumberFormat="1" applyFont="1" applyBorder="1" applyAlignment="1">
      <alignment horizontal="center" vertical="center"/>
    </xf>
    <xf numFmtId="1" fontId="2" fillId="0" borderId="16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vertical="center"/>
    </xf>
    <xf numFmtId="0" fontId="0" fillId="0" borderId="23" xfId="0" applyBorder="1" applyAlignment="1">
      <alignment vertical="center"/>
    </xf>
    <xf numFmtId="15" fontId="0" fillId="0" borderId="23" xfId="0" applyNumberFormat="1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vertical="center"/>
    </xf>
    <xf numFmtId="0" fontId="0" fillId="0" borderId="30" xfId="0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vertical="center"/>
    </xf>
    <xf numFmtId="0" fontId="13" fillId="0" borderId="33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15" xfId="0" applyFont="1" applyBorder="1" applyAlignment="1">
      <alignment vertical="center"/>
    </xf>
    <xf numFmtId="0" fontId="1" fillId="0" borderId="15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0" fillId="0" borderId="26" xfId="0" applyBorder="1" applyAlignment="1">
      <alignment vertical="center"/>
    </xf>
    <xf numFmtId="0" fontId="0" fillId="0" borderId="0" xfId="0" applyAlignment="1">
      <alignment horizontal="center" vertical="center"/>
    </xf>
    <xf numFmtId="15" fontId="0" fillId="0" borderId="0" xfId="0" applyNumberFormat="1" applyAlignment="1">
      <alignment vertical="center"/>
    </xf>
    <xf numFmtId="0" fontId="15" fillId="0" borderId="0" xfId="0" applyFont="1" applyAlignment="1">
      <alignment vertical="center"/>
    </xf>
    <xf numFmtId="0" fontId="15" fillId="0" borderId="27" xfId="0" applyFont="1" applyBorder="1" applyAlignment="1">
      <alignment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vertical="center"/>
    </xf>
    <xf numFmtId="0" fontId="1" fillId="0" borderId="37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1" fillId="0" borderId="15" xfId="0" applyFont="1" applyBorder="1" applyAlignment="1">
      <alignment horizontal="left" vertical="center"/>
    </xf>
    <xf numFmtId="1" fontId="0" fillId="0" borderId="15" xfId="0" applyNumberFormat="1" applyBorder="1" applyAlignment="1">
      <alignment horizontal="center" vertical="center"/>
    </xf>
    <xf numFmtId="0" fontId="1" fillId="4" borderId="15" xfId="0" applyFont="1" applyFill="1" applyBorder="1" applyAlignment="1">
      <alignment horizontal="left" vertical="center" wrapText="1"/>
    </xf>
    <xf numFmtId="1" fontId="0" fillId="4" borderId="15" xfId="0" applyNumberFormat="1" applyFill="1" applyBorder="1" applyAlignment="1">
      <alignment horizontal="center" vertical="center"/>
    </xf>
    <xf numFmtId="0" fontId="1" fillId="0" borderId="15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D9505-5F78-4FBB-88BE-C2AB86D39C8B}">
  <dimension ref="A1:T37"/>
  <sheetViews>
    <sheetView tabSelected="1" workbookViewId="0">
      <selection activeCell="T16" sqref="T16"/>
    </sheetView>
  </sheetViews>
  <sheetFormatPr defaultColWidth="9.33203125" defaultRowHeight="14.4"/>
  <cols>
    <col min="1" max="1" width="5.33203125" style="8" customWidth="1"/>
    <col min="2" max="2" width="23.33203125" style="8" customWidth="1"/>
    <col min="3" max="3" width="13.6640625" style="80" bestFit="1" customWidth="1"/>
    <col min="4" max="4" width="11.44140625" style="81" customWidth="1"/>
    <col min="5" max="5" width="8.5546875" style="8" customWidth="1"/>
    <col min="6" max="6" width="5.88671875" style="8" customWidth="1"/>
    <col min="7" max="7" width="8.5546875" style="8" customWidth="1"/>
    <col min="8" max="8" width="10.33203125" style="8" customWidth="1"/>
    <col min="9" max="18" width="7.44140625" style="8" customWidth="1"/>
    <col min="19" max="19" width="7.5546875" style="8" customWidth="1"/>
    <col min="20" max="16384" width="9.33203125" style="8"/>
  </cols>
  <sheetData>
    <row r="1" spans="1:20" s="1" customFormat="1" ht="13.2">
      <c r="C1" s="2"/>
      <c r="D1" s="3"/>
      <c r="H1" s="4"/>
      <c r="I1" s="1" t="s">
        <v>0</v>
      </c>
    </row>
    <row r="2" spans="1:20" ht="25.5" customHeight="1" thickBot="1">
      <c r="A2" s="5"/>
      <c r="B2" s="5"/>
      <c r="C2" s="6"/>
      <c r="D2" s="7"/>
      <c r="E2" s="5"/>
      <c r="F2" s="5"/>
      <c r="H2" s="9" t="s">
        <v>1</v>
      </c>
      <c r="I2" s="10" t="s">
        <v>2</v>
      </c>
      <c r="J2" s="5"/>
      <c r="K2" s="5"/>
      <c r="L2" s="5"/>
      <c r="M2" s="5"/>
      <c r="N2" s="5"/>
      <c r="O2" s="5"/>
      <c r="P2" s="5"/>
      <c r="Q2" s="5"/>
      <c r="R2" s="5"/>
      <c r="S2" s="5"/>
    </row>
    <row r="3" spans="1:20" ht="17.399999999999999">
      <c r="A3" s="11" t="s">
        <v>3</v>
      </c>
      <c r="B3" s="12"/>
      <c r="C3" s="13"/>
      <c r="D3" s="14"/>
      <c r="E3" s="15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9" t="s">
        <v>4</v>
      </c>
      <c r="S3" s="20"/>
    </row>
    <row r="4" spans="1:20" ht="26.4">
      <c r="A4" s="21" t="s">
        <v>5</v>
      </c>
      <c r="B4" s="22" t="s">
        <v>6</v>
      </c>
      <c r="C4" s="22" t="s">
        <v>7</v>
      </c>
      <c r="D4" s="22" t="s">
        <v>8</v>
      </c>
      <c r="E4" s="22" t="s">
        <v>9</v>
      </c>
      <c r="F4" s="22" t="s">
        <v>10</v>
      </c>
      <c r="G4" s="22" t="s">
        <v>11</v>
      </c>
      <c r="H4" s="23">
        <v>45748</v>
      </c>
      <c r="I4" s="23">
        <v>45778</v>
      </c>
      <c r="J4" s="23">
        <v>45809</v>
      </c>
      <c r="K4" s="23">
        <v>45839</v>
      </c>
      <c r="L4" s="23">
        <v>45870</v>
      </c>
      <c r="M4" s="23">
        <v>45901</v>
      </c>
      <c r="N4" s="23">
        <v>45931</v>
      </c>
      <c r="O4" s="23">
        <v>45962</v>
      </c>
      <c r="P4" s="23">
        <v>45992</v>
      </c>
      <c r="Q4" s="23">
        <v>46023</v>
      </c>
      <c r="R4" s="23">
        <v>46054</v>
      </c>
      <c r="S4" s="24">
        <v>46082</v>
      </c>
    </row>
    <row r="5" spans="1:20">
      <c r="A5" s="25">
        <v>1</v>
      </c>
      <c r="B5" s="26" t="s">
        <v>12</v>
      </c>
      <c r="C5" s="27" t="s">
        <v>13</v>
      </c>
      <c r="D5" s="26" t="s">
        <v>14</v>
      </c>
      <c r="E5" s="27">
        <f>SUM(H5:S5)</f>
        <v>52</v>
      </c>
      <c r="F5" s="27">
        <f t="shared" ref="F5:F9" si="0">E5/5.2</f>
        <v>10</v>
      </c>
      <c r="G5" s="27" t="s">
        <v>15</v>
      </c>
      <c r="H5" s="28">
        <f>10*5.2</f>
        <v>52</v>
      </c>
      <c r="I5" s="29"/>
      <c r="J5" s="29"/>
      <c r="K5" s="29"/>
      <c r="L5" s="29"/>
      <c r="M5" s="29"/>
      <c r="N5" s="29"/>
      <c r="O5" s="29"/>
      <c r="P5" s="29"/>
      <c r="Q5" s="27"/>
      <c r="R5" s="27"/>
      <c r="S5" s="30"/>
    </row>
    <row r="6" spans="1:20">
      <c r="A6" s="25">
        <v>2</v>
      </c>
      <c r="B6" s="26" t="s">
        <v>16</v>
      </c>
      <c r="C6" s="27" t="s">
        <v>17</v>
      </c>
      <c r="D6" s="26" t="s">
        <v>18</v>
      </c>
      <c r="E6" s="27">
        <f t="shared" ref="E6:E16" si="1">SUM(H6:S6)</f>
        <v>57.2</v>
      </c>
      <c r="F6" s="27">
        <f t="shared" si="0"/>
        <v>11</v>
      </c>
      <c r="G6" s="27" t="s">
        <v>15</v>
      </c>
      <c r="H6" s="29"/>
      <c r="I6" s="28">
        <v>26</v>
      </c>
      <c r="J6" s="28">
        <f>6*5.2</f>
        <v>31.200000000000003</v>
      </c>
      <c r="K6" s="29"/>
      <c r="L6" s="29"/>
      <c r="M6" s="29"/>
      <c r="N6" s="29"/>
      <c r="O6" s="29"/>
      <c r="P6" s="29"/>
      <c r="Q6" s="27"/>
      <c r="R6" s="27"/>
      <c r="S6" s="30"/>
    </row>
    <row r="7" spans="1:20">
      <c r="A7" s="25">
        <v>3</v>
      </c>
      <c r="B7" s="26" t="s">
        <v>12</v>
      </c>
      <c r="C7" s="27" t="s">
        <v>19</v>
      </c>
      <c r="D7" s="26" t="s">
        <v>14</v>
      </c>
      <c r="E7" s="27">
        <f t="shared" si="1"/>
        <v>62.4</v>
      </c>
      <c r="F7" s="27">
        <f t="shared" si="0"/>
        <v>12</v>
      </c>
      <c r="G7" s="27" t="s">
        <v>15</v>
      </c>
      <c r="H7" s="28">
        <f>10*5.2</f>
        <v>52</v>
      </c>
      <c r="I7" s="29"/>
      <c r="J7" s="28">
        <f>2*5.2</f>
        <v>10.4</v>
      </c>
      <c r="K7" s="29"/>
      <c r="L7" s="29"/>
      <c r="M7" s="29"/>
      <c r="N7" s="29"/>
      <c r="O7" s="29"/>
      <c r="P7" s="29"/>
      <c r="Q7" s="27"/>
      <c r="R7" s="27"/>
      <c r="S7" s="30"/>
    </row>
    <row r="8" spans="1:20">
      <c r="A8" s="25">
        <v>4</v>
      </c>
      <c r="B8" s="26" t="s">
        <v>20</v>
      </c>
      <c r="C8" s="27" t="s">
        <v>21</v>
      </c>
      <c r="D8" s="26" t="s">
        <v>14</v>
      </c>
      <c r="E8" s="27">
        <f t="shared" si="1"/>
        <v>156.00000000000003</v>
      </c>
      <c r="F8" s="27">
        <f t="shared" si="0"/>
        <v>30.000000000000004</v>
      </c>
      <c r="G8" s="27" t="s">
        <v>22</v>
      </c>
      <c r="H8" s="29"/>
      <c r="I8" s="29"/>
      <c r="J8" s="28">
        <f>23*5.2</f>
        <v>119.60000000000001</v>
      </c>
      <c r="K8" s="28">
        <f>5*5.2</f>
        <v>26</v>
      </c>
      <c r="L8" s="29"/>
      <c r="M8" s="29"/>
      <c r="N8" s="29"/>
      <c r="O8" s="29"/>
      <c r="P8" s="29"/>
      <c r="Q8" s="27"/>
      <c r="R8" s="27">
        <f>2*5.2</f>
        <v>10.4</v>
      </c>
      <c r="S8" s="30"/>
    </row>
    <row r="9" spans="1:20">
      <c r="A9" s="25">
        <v>5</v>
      </c>
      <c r="B9" s="26" t="s">
        <v>12</v>
      </c>
      <c r="C9" s="27" t="s">
        <v>19</v>
      </c>
      <c r="D9" s="26" t="s">
        <v>14</v>
      </c>
      <c r="E9" s="27">
        <f t="shared" si="1"/>
        <v>67.600000000000009</v>
      </c>
      <c r="F9" s="27">
        <f t="shared" si="0"/>
        <v>13.000000000000002</v>
      </c>
      <c r="G9" s="27" t="s">
        <v>23</v>
      </c>
      <c r="H9" s="29"/>
      <c r="I9" s="29"/>
      <c r="J9" s="29"/>
      <c r="K9" s="28"/>
      <c r="L9" s="29"/>
      <c r="M9" s="28">
        <f>6*5.2</f>
        <v>31.200000000000003</v>
      </c>
      <c r="N9" s="29"/>
      <c r="O9" s="28">
        <f>6*5.2</f>
        <v>31.200000000000003</v>
      </c>
      <c r="P9" s="29"/>
      <c r="Q9" s="27">
        <f>1*5.2</f>
        <v>5.2</v>
      </c>
      <c r="R9" s="27"/>
      <c r="S9" s="30"/>
    </row>
    <row r="10" spans="1:20">
      <c r="A10" s="25">
        <v>6</v>
      </c>
      <c r="B10" s="26" t="s">
        <v>12</v>
      </c>
      <c r="C10" s="27" t="s">
        <v>24</v>
      </c>
      <c r="D10" s="26" t="s">
        <v>14</v>
      </c>
      <c r="E10" s="27">
        <f t="shared" si="1"/>
        <v>130</v>
      </c>
      <c r="F10" s="27">
        <f>E10/5.2</f>
        <v>25</v>
      </c>
      <c r="G10" s="27" t="s">
        <v>23</v>
      </c>
      <c r="H10" s="29"/>
      <c r="I10" s="29"/>
      <c r="J10" s="29"/>
      <c r="K10" s="28"/>
      <c r="L10" s="28">
        <f>24*5.2</f>
        <v>124.80000000000001</v>
      </c>
      <c r="M10" s="29"/>
      <c r="N10" s="29"/>
      <c r="O10" s="28">
        <f>1*5.2</f>
        <v>5.2</v>
      </c>
      <c r="P10" s="29"/>
      <c r="Q10" s="27"/>
      <c r="R10" s="27"/>
      <c r="S10" s="30"/>
    </row>
    <row r="11" spans="1:20">
      <c r="A11" s="25">
        <v>7</v>
      </c>
      <c r="B11" s="26" t="s">
        <v>25</v>
      </c>
      <c r="C11" s="27" t="s">
        <v>26</v>
      </c>
      <c r="D11" s="26" t="s">
        <v>14</v>
      </c>
      <c r="E11" s="27">
        <f t="shared" si="1"/>
        <v>15.600000000000001</v>
      </c>
      <c r="F11" s="27">
        <f t="shared" ref="F11:F16" si="2">E11/5.2</f>
        <v>3</v>
      </c>
      <c r="G11" s="27" t="s">
        <v>23</v>
      </c>
      <c r="H11" s="29"/>
      <c r="I11" s="29"/>
      <c r="J11" s="29"/>
      <c r="K11" s="28">
        <f>3*5.2</f>
        <v>15.600000000000001</v>
      </c>
      <c r="L11" s="28"/>
      <c r="M11" s="29"/>
      <c r="N11" s="29"/>
      <c r="O11" s="28"/>
      <c r="P11" s="29"/>
      <c r="Q11" s="27"/>
      <c r="R11" s="27"/>
      <c r="S11" s="30"/>
    </row>
    <row r="12" spans="1:20">
      <c r="A12" s="25">
        <v>8</v>
      </c>
      <c r="B12" s="26" t="s">
        <v>25</v>
      </c>
      <c r="C12" s="27" t="s">
        <v>26</v>
      </c>
      <c r="D12" s="26" t="s">
        <v>14</v>
      </c>
      <c r="E12" s="27">
        <f t="shared" si="1"/>
        <v>26</v>
      </c>
      <c r="F12" s="27">
        <f t="shared" si="2"/>
        <v>5</v>
      </c>
      <c r="G12" s="27" t="s">
        <v>23</v>
      </c>
      <c r="H12" s="29"/>
      <c r="I12" s="29"/>
      <c r="J12" s="29"/>
      <c r="K12" s="28">
        <f>5*5.2</f>
        <v>26</v>
      </c>
      <c r="L12" s="29"/>
      <c r="M12" s="29"/>
      <c r="N12" s="29"/>
      <c r="O12" s="28"/>
      <c r="P12" s="29"/>
      <c r="Q12" s="27"/>
      <c r="R12" s="27"/>
      <c r="S12" s="30"/>
    </row>
    <row r="13" spans="1:20">
      <c r="A13" s="25">
        <v>9</v>
      </c>
      <c r="B13" s="26" t="s">
        <v>20</v>
      </c>
      <c r="C13" s="27" t="s">
        <v>27</v>
      </c>
      <c r="D13" s="26" t="s">
        <v>14</v>
      </c>
      <c r="E13" s="27">
        <f t="shared" si="1"/>
        <v>62.4</v>
      </c>
      <c r="F13" s="27">
        <f t="shared" si="2"/>
        <v>12</v>
      </c>
      <c r="G13" s="27" t="s">
        <v>23</v>
      </c>
      <c r="H13" s="29"/>
      <c r="I13" s="29"/>
      <c r="J13" s="29"/>
      <c r="K13" s="29"/>
      <c r="L13" s="29"/>
      <c r="M13" s="29"/>
      <c r="N13" s="29"/>
      <c r="O13" s="28"/>
      <c r="P13" s="1"/>
      <c r="Q13" s="27">
        <f>6*5.2</f>
        <v>31.200000000000003</v>
      </c>
      <c r="R13" s="27">
        <f>4*5.2</f>
        <v>20.8</v>
      </c>
      <c r="S13" s="30">
        <f>2*5.2</f>
        <v>10.4</v>
      </c>
    </row>
    <row r="14" spans="1:20">
      <c r="A14" s="25">
        <v>10</v>
      </c>
      <c r="B14" s="26" t="s">
        <v>28</v>
      </c>
      <c r="C14" s="27" t="s">
        <v>19</v>
      </c>
      <c r="D14" s="26" t="s">
        <v>29</v>
      </c>
      <c r="E14" s="27">
        <f t="shared" si="1"/>
        <v>202.8</v>
      </c>
      <c r="F14" s="27">
        <f t="shared" si="2"/>
        <v>39</v>
      </c>
      <c r="G14" s="27" t="s">
        <v>30</v>
      </c>
      <c r="H14" s="29"/>
      <c r="I14" s="29"/>
      <c r="J14" s="29"/>
      <c r="K14" s="29"/>
      <c r="L14" s="29"/>
      <c r="M14" s="29"/>
      <c r="N14" s="28">
        <f>15*5.2</f>
        <v>78</v>
      </c>
      <c r="O14" s="28">
        <f>9*5.2</f>
        <v>46.800000000000004</v>
      </c>
      <c r="P14" s="31">
        <f>4*5.2+7*5.2</f>
        <v>57.2</v>
      </c>
      <c r="Q14" s="27"/>
      <c r="R14" s="27"/>
      <c r="S14" s="30">
        <f>4*5.2</f>
        <v>20.8</v>
      </c>
    </row>
    <row r="15" spans="1:20">
      <c r="A15" s="25" t="s">
        <v>31</v>
      </c>
      <c r="B15" s="26" t="s">
        <v>12</v>
      </c>
      <c r="C15" s="27" t="s">
        <v>32</v>
      </c>
      <c r="D15" s="26" t="s">
        <v>14</v>
      </c>
      <c r="E15" s="27">
        <f>SUM(H15:S15)</f>
        <v>156</v>
      </c>
      <c r="F15" s="27">
        <f t="shared" si="2"/>
        <v>30</v>
      </c>
      <c r="G15" s="27" t="s">
        <v>33</v>
      </c>
      <c r="H15" s="29"/>
      <c r="I15" s="29"/>
      <c r="J15" s="29"/>
      <c r="K15" s="29"/>
      <c r="L15" s="29"/>
      <c r="M15" s="29"/>
      <c r="N15" s="29"/>
      <c r="O15" s="28"/>
      <c r="P15" s="1"/>
      <c r="Q15" s="27">
        <f>15*5.2</f>
        <v>78</v>
      </c>
      <c r="R15" s="27">
        <f>12*5.2</f>
        <v>62.400000000000006</v>
      </c>
      <c r="S15" s="27">
        <f>3*5.2</f>
        <v>15.600000000000001</v>
      </c>
    </row>
    <row r="16" spans="1:20">
      <c r="A16" s="25" t="s">
        <v>34</v>
      </c>
      <c r="B16" s="26" t="s">
        <v>12</v>
      </c>
      <c r="C16" s="27" t="s">
        <v>35</v>
      </c>
      <c r="D16" s="26" t="s">
        <v>14</v>
      </c>
      <c r="E16" s="27">
        <f t="shared" si="1"/>
        <v>140.4</v>
      </c>
      <c r="F16" s="27">
        <f t="shared" si="2"/>
        <v>27</v>
      </c>
      <c r="G16" s="27" t="s">
        <v>36</v>
      </c>
      <c r="H16" s="29"/>
      <c r="I16" s="29"/>
      <c r="J16" s="29"/>
      <c r="K16" s="29"/>
      <c r="L16" s="29"/>
      <c r="M16" s="29"/>
      <c r="N16" s="29"/>
      <c r="O16" s="28"/>
      <c r="P16" s="29"/>
      <c r="Q16" s="27"/>
      <c r="R16" s="27">
        <f>15*5.2</f>
        <v>78</v>
      </c>
      <c r="S16" s="30">
        <f>12*5.2</f>
        <v>62.400000000000006</v>
      </c>
      <c r="T16" s="8" t="s">
        <v>54</v>
      </c>
    </row>
    <row r="17" spans="1:19" s="2" customFormat="1" ht="13.2">
      <c r="A17" s="32"/>
      <c r="B17" s="33" t="s">
        <v>37</v>
      </c>
      <c r="C17" s="34"/>
      <c r="D17" s="35"/>
      <c r="E17" s="36">
        <f>SUM(E5:E16)</f>
        <v>1128.4000000000001</v>
      </c>
      <c r="F17" s="36"/>
      <c r="G17" s="36"/>
      <c r="H17" s="37">
        <f t="shared" ref="H17:S17" si="3">SUM(H5:H16)</f>
        <v>104</v>
      </c>
      <c r="I17" s="37">
        <f t="shared" si="3"/>
        <v>26</v>
      </c>
      <c r="J17" s="37">
        <f t="shared" si="3"/>
        <v>161.20000000000002</v>
      </c>
      <c r="K17" s="37">
        <f t="shared" si="3"/>
        <v>67.599999999999994</v>
      </c>
      <c r="L17" s="37">
        <f t="shared" si="3"/>
        <v>124.80000000000001</v>
      </c>
      <c r="M17" s="37">
        <f t="shared" si="3"/>
        <v>31.200000000000003</v>
      </c>
      <c r="N17" s="37">
        <f t="shared" si="3"/>
        <v>78</v>
      </c>
      <c r="O17" s="37">
        <f t="shared" si="3"/>
        <v>83.200000000000017</v>
      </c>
      <c r="P17" s="38">
        <f t="shared" si="3"/>
        <v>57.2</v>
      </c>
      <c r="Q17" s="39">
        <f t="shared" si="3"/>
        <v>114.4</v>
      </c>
      <c r="R17" s="39">
        <f t="shared" si="3"/>
        <v>171.60000000000002</v>
      </c>
      <c r="S17" s="40">
        <f t="shared" si="3"/>
        <v>109.20000000000002</v>
      </c>
    </row>
    <row r="18" spans="1:19" s="2" customFormat="1" ht="13.2">
      <c r="A18" s="41"/>
      <c r="B18" s="42"/>
      <c r="C18" s="43"/>
      <c r="D18" s="44"/>
      <c r="E18" s="45"/>
      <c r="F18" s="45"/>
      <c r="G18" s="45"/>
      <c r="H18" s="46">
        <f>+SUM(H17:J17)</f>
        <v>291.20000000000005</v>
      </c>
      <c r="I18" s="47"/>
      <c r="J18" s="48"/>
      <c r="K18" s="46">
        <f>+SUM(K17:M17)</f>
        <v>223.60000000000002</v>
      </c>
      <c r="L18" s="47"/>
      <c r="M18" s="48"/>
      <c r="N18" s="46">
        <f>+SUM(N17:P17)</f>
        <v>218.40000000000003</v>
      </c>
      <c r="O18" s="47"/>
      <c r="P18" s="48"/>
      <c r="Q18" s="49">
        <f>+SUM(Q17:S17)</f>
        <v>395.20000000000005</v>
      </c>
      <c r="R18" s="50"/>
      <c r="S18" s="51"/>
    </row>
    <row r="19" spans="1:19">
      <c r="A19" s="32"/>
      <c r="B19" s="33" t="s">
        <v>38</v>
      </c>
      <c r="C19" s="34"/>
      <c r="D19" s="35"/>
      <c r="E19" s="36"/>
      <c r="F19" s="36">
        <f>SUM(F5:F16)</f>
        <v>217</v>
      </c>
      <c r="G19" s="36"/>
      <c r="H19" s="37">
        <f>+H17/5.2</f>
        <v>20</v>
      </c>
      <c r="I19" s="37">
        <f t="shared" ref="I19:S19" si="4">+I17/5.2</f>
        <v>5</v>
      </c>
      <c r="J19" s="37">
        <f t="shared" si="4"/>
        <v>31.000000000000004</v>
      </c>
      <c r="K19" s="37">
        <f t="shared" si="4"/>
        <v>12.999999999999998</v>
      </c>
      <c r="L19" s="37">
        <f t="shared" si="4"/>
        <v>24</v>
      </c>
      <c r="M19" s="37">
        <f t="shared" si="4"/>
        <v>6</v>
      </c>
      <c r="N19" s="37">
        <f t="shared" si="4"/>
        <v>15</v>
      </c>
      <c r="O19" s="37">
        <f t="shared" si="4"/>
        <v>16.000000000000004</v>
      </c>
      <c r="P19" s="37">
        <f t="shared" si="4"/>
        <v>11</v>
      </c>
      <c r="Q19" s="52">
        <f t="shared" si="4"/>
        <v>22</v>
      </c>
      <c r="R19" s="52">
        <f t="shared" si="4"/>
        <v>33</v>
      </c>
      <c r="S19" s="53">
        <f t="shared" si="4"/>
        <v>21.000000000000004</v>
      </c>
    </row>
    <row r="20" spans="1:19" s="2" customFormat="1" ht="13.2">
      <c r="A20" s="41"/>
      <c r="B20" s="42"/>
      <c r="C20" s="43"/>
      <c r="D20" s="44"/>
      <c r="E20" s="45"/>
      <c r="F20" s="45"/>
      <c r="G20" s="45"/>
      <c r="H20" s="46">
        <f>+SUM(H19:J19)</f>
        <v>56</v>
      </c>
      <c r="I20" s="47"/>
      <c r="J20" s="48"/>
      <c r="K20" s="46">
        <f>+SUM(K19:M19)</f>
        <v>43</v>
      </c>
      <c r="L20" s="47"/>
      <c r="M20" s="48"/>
      <c r="N20" s="46">
        <f>+SUM(N19:P19)</f>
        <v>42</v>
      </c>
      <c r="O20" s="47"/>
      <c r="P20" s="48"/>
      <c r="Q20" s="49">
        <f>+SUM(Q19:S19)</f>
        <v>76</v>
      </c>
      <c r="R20" s="50"/>
      <c r="S20" s="51"/>
    </row>
    <row r="21" spans="1:19" s="2" customFormat="1" ht="13.2">
      <c r="A21" s="54"/>
      <c r="B21" s="55"/>
      <c r="C21" s="55"/>
      <c r="D21" s="55"/>
      <c r="H21" s="56"/>
      <c r="I21" s="56"/>
      <c r="J21" s="56"/>
      <c r="K21" s="56"/>
      <c r="L21" s="56"/>
      <c r="M21" s="56"/>
      <c r="N21" s="57"/>
      <c r="O21" s="57"/>
      <c r="P21" s="57"/>
      <c r="Q21" s="57"/>
      <c r="R21" s="57"/>
      <c r="S21" s="58"/>
    </row>
    <row r="22" spans="1:19" ht="15.6">
      <c r="A22" s="59" t="s">
        <v>39</v>
      </c>
      <c r="B22" s="60"/>
      <c r="C22" s="60"/>
      <c r="D22" s="61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2"/>
    </row>
    <row r="23" spans="1:19">
      <c r="A23" s="63" t="s">
        <v>40</v>
      </c>
      <c r="B23" s="64" t="s">
        <v>12</v>
      </c>
      <c r="C23" s="64" t="s">
        <v>32</v>
      </c>
      <c r="D23" s="64" t="s">
        <v>14</v>
      </c>
      <c r="E23" s="65">
        <f t="shared" ref="E23:E27" si="5">SUM(H23:S23)</f>
        <v>98.800000000000011</v>
      </c>
      <c r="F23" s="65">
        <f t="shared" ref="F23:F27" si="6">E23/5.2</f>
        <v>19</v>
      </c>
      <c r="G23" s="65"/>
      <c r="H23" s="66">
        <f>SUM(H24:H25)</f>
        <v>0</v>
      </c>
      <c r="I23" s="66">
        <f t="shared" ref="I23:R23" si="7">SUM(I24:I25)</f>
        <v>0</v>
      </c>
      <c r="J23" s="66">
        <f t="shared" si="7"/>
        <v>0</v>
      </c>
      <c r="K23" s="66">
        <f t="shared" si="7"/>
        <v>0</v>
      </c>
      <c r="L23" s="66">
        <f t="shared" si="7"/>
        <v>0</v>
      </c>
      <c r="M23" s="66">
        <f t="shared" si="7"/>
        <v>0</v>
      </c>
      <c r="N23" s="66">
        <f t="shared" si="7"/>
        <v>0</v>
      </c>
      <c r="O23" s="66">
        <f t="shared" si="7"/>
        <v>0</v>
      </c>
      <c r="P23" s="66">
        <f t="shared" si="7"/>
        <v>0</v>
      </c>
      <c r="Q23" s="66">
        <f t="shared" si="7"/>
        <v>10.4</v>
      </c>
      <c r="R23" s="66">
        <f t="shared" si="7"/>
        <v>15.600000000000001</v>
      </c>
      <c r="S23" s="67">
        <f>SUM(S24:S25)</f>
        <v>72.800000000000011</v>
      </c>
    </row>
    <row r="24" spans="1:19">
      <c r="A24" s="68"/>
      <c r="B24" s="69"/>
      <c r="C24" s="69"/>
      <c r="D24" s="69"/>
      <c r="E24" s="70">
        <f>SUM(H24:S24)</f>
        <v>31.2</v>
      </c>
      <c r="F24" s="70">
        <f t="shared" si="6"/>
        <v>6</v>
      </c>
      <c r="G24" s="70" t="s">
        <v>33</v>
      </c>
      <c r="H24" s="71"/>
      <c r="I24" s="71"/>
      <c r="J24" s="71"/>
      <c r="K24" s="71"/>
      <c r="L24" s="71"/>
      <c r="M24" s="71"/>
      <c r="N24" s="71"/>
      <c r="O24" s="71"/>
      <c r="Q24" s="71">
        <f>2*5.2</f>
        <v>10.4</v>
      </c>
      <c r="R24" s="71">
        <f>3*5.2</f>
        <v>15.600000000000001</v>
      </c>
      <c r="S24" s="71">
        <f>1*5.2</f>
        <v>5.2</v>
      </c>
    </row>
    <row r="25" spans="1:19">
      <c r="A25" s="68"/>
      <c r="B25" s="69"/>
      <c r="C25" s="69"/>
      <c r="D25" s="69"/>
      <c r="E25" s="70">
        <f t="shared" ref="E25" si="8">SUM(H25:S25)</f>
        <v>67.600000000000009</v>
      </c>
      <c r="F25" s="70">
        <f t="shared" si="6"/>
        <v>13.000000000000002</v>
      </c>
      <c r="G25" s="70" t="s">
        <v>41</v>
      </c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2">
        <f>13*5.2</f>
        <v>67.600000000000009</v>
      </c>
    </row>
    <row r="26" spans="1:19">
      <c r="A26" s="25" t="s">
        <v>42</v>
      </c>
      <c r="B26" s="26" t="s">
        <v>12</v>
      </c>
      <c r="C26" s="26" t="s">
        <v>35</v>
      </c>
      <c r="D26" s="26" t="s">
        <v>14</v>
      </c>
      <c r="E26" s="27">
        <f t="shared" si="5"/>
        <v>312</v>
      </c>
      <c r="F26" s="27">
        <f t="shared" si="6"/>
        <v>60</v>
      </c>
      <c r="G26" s="27" t="s">
        <v>41</v>
      </c>
      <c r="H26" s="73"/>
      <c r="I26" s="73"/>
      <c r="J26" s="73"/>
      <c r="K26" s="73"/>
      <c r="L26" s="73"/>
      <c r="M26" s="73"/>
      <c r="N26" s="73"/>
      <c r="O26" s="73"/>
      <c r="P26" s="73"/>
      <c r="Q26" s="73">
        <f>7*5.2</f>
        <v>36.4</v>
      </c>
      <c r="R26" s="73">
        <f>26*5.2</f>
        <v>135.20000000000002</v>
      </c>
      <c r="S26" s="74">
        <f>27*5.2</f>
        <v>140.4</v>
      </c>
    </row>
    <row r="27" spans="1:19">
      <c r="A27" s="25">
        <v>13</v>
      </c>
      <c r="B27" s="26" t="s">
        <v>43</v>
      </c>
      <c r="C27" s="26" t="s">
        <v>44</v>
      </c>
      <c r="D27" s="26" t="s">
        <v>14</v>
      </c>
      <c r="E27" s="27">
        <f t="shared" si="5"/>
        <v>10.4</v>
      </c>
      <c r="F27" s="27">
        <f t="shared" si="6"/>
        <v>2</v>
      </c>
      <c r="G27" s="27" t="s">
        <v>45</v>
      </c>
      <c r="H27" s="73"/>
      <c r="I27" s="73"/>
      <c r="J27" s="73"/>
      <c r="K27" s="73"/>
      <c r="L27" s="73"/>
      <c r="M27" s="73"/>
      <c r="N27" s="73"/>
      <c r="O27" s="73"/>
      <c r="P27" s="73"/>
      <c r="Q27" s="73">
        <f>2*5.2</f>
        <v>10.4</v>
      </c>
      <c r="R27" s="73"/>
      <c r="S27" s="74"/>
    </row>
    <row r="28" spans="1:19">
      <c r="A28" s="75"/>
      <c r="B28" s="76" t="s">
        <v>46</v>
      </c>
      <c r="C28" s="76"/>
      <c r="D28" s="76"/>
      <c r="E28" s="77">
        <f>SUM(E23:E27)</f>
        <v>520</v>
      </c>
      <c r="F28" s="77">
        <f>SUM(F24:F27)</f>
        <v>81</v>
      </c>
      <c r="G28" s="77"/>
      <c r="H28" s="78">
        <f>SUM(H24:H27)</f>
        <v>0</v>
      </c>
      <c r="I28" s="78">
        <f t="shared" ref="I28:R28" si="9">SUM(I24:I27)</f>
        <v>0</v>
      </c>
      <c r="J28" s="78">
        <f t="shared" si="9"/>
        <v>0</v>
      </c>
      <c r="K28" s="78">
        <f t="shared" si="9"/>
        <v>0</v>
      </c>
      <c r="L28" s="78">
        <f t="shared" si="9"/>
        <v>0</v>
      </c>
      <c r="M28" s="78">
        <f t="shared" si="9"/>
        <v>0</v>
      </c>
      <c r="N28" s="78">
        <f t="shared" si="9"/>
        <v>0</v>
      </c>
      <c r="O28" s="78">
        <f t="shared" si="9"/>
        <v>0</v>
      </c>
      <c r="P28" s="78">
        <f t="shared" si="9"/>
        <v>0</v>
      </c>
      <c r="Q28" s="52">
        <f t="shared" si="9"/>
        <v>57.199999999999996</v>
      </c>
      <c r="R28" s="52">
        <f t="shared" si="9"/>
        <v>150.80000000000001</v>
      </c>
      <c r="S28" s="53">
        <f>SUM(S24:S27)</f>
        <v>213.20000000000002</v>
      </c>
    </row>
    <row r="29" spans="1:19">
      <c r="A29" s="79"/>
      <c r="Q29" s="82"/>
      <c r="R29" s="82"/>
      <c r="S29" s="83"/>
    </row>
    <row r="30" spans="1:19" ht="23.25" customHeight="1" thickBot="1">
      <c r="A30" s="84"/>
      <c r="B30" s="85" t="s">
        <v>37</v>
      </c>
      <c r="C30" s="85"/>
      <c r="D30" s="85"/>
      <c r="E30" s="86">
        <f t="shared" ref="E30:S30" si="10">+E28+E17</f>
        <v>1648.4</v>
      </c>
      <c r="F30" s="86">
        <f t="shared" si="10"/>
        <v>81</v>
      </c>
      <c r="G30" s="86">
        <f t="shared" si="10"/>
        <v>0</v>
      </c>
      <c r="H30" s="87">
        <f t="shared" si="10"/>
        <v>104</v>
      </c>
      <c r="I30" s="87">
        <f t="shared" si="10"/>
        <v>26</v>
      </c>
      <c r="J30" s="87">
        <f t="shared" si="10"/>
        <v>161.20000000000002</v>
      </c>
      <c r="K30" s="87">
        <f t="shared" si="10"/>
        <v>67.599999999999994</v>
      </c>
      <c r="L30" s="87">
        <f t="shared" si="10"/>
        <v>124.80000000000001</v>
      </c>
      <c r="M30" s="87">
        <f t="shared" si="10"/>
        <v>31.200000000000003</v>
      </c>
      <c r="N30" s="87">
        <f t="shared" si="10"/>
        <v>78</v>
      </c>
      <c r="O30" s="87">
        <f t="shared" si="10"/>
        <v>83.200000000000017</v>
      </c>
      <c r="P30" s="87">
        <f t="shared" si="10"/>
        <v>57.2</v>
      </c>
      <c r="Q30" s="88">
        <f t="shared" si="10"/>
        <v>171.6</v>
      </c>
      <c r="R30" s="88">
        <f t="shared" si="10"/>
        <v>322.40000000000003</v>
      </c>
      <c r="S30" s="89">
        <f t="shared" si="10"/>
        <v>322.40000000000003</v>
      </c>
    </row>
    <row r="32" spans="1:19">
      <c r="H32" s="77"/>
      <c r="I32" s="77" t="s">
        <v>47</v>
      </c>
      <c r="J32" s="77" t="s">
        <v>48</v>
      </c>
    </row>
    <row r="33" spans="8:10">
      <c r="H33" s="90" t="s">
        <v>49</v>
      </c>
      <c r="I33" s="91">
        <v>1128</v>
      </c>
      <c r="J33" s="91">
        <v>217</v>
      </c>
    </row>
    <row r="34" spans="8:10">
      <c r="H34" s="90" t="s">
        <v>50</v>
      </c>
      <c r="I34" s="91">
        <v>1549.6</v>
      </c>
      <c r="J34" s="91">
        <f>I34/5.2</f>
        <v>298</v>
      </c>
    </row>
    <row r="35" spans="8:10" ht="39.6">
      <c r="H35" s="92" t="s">
        <v>51</v>
      </c>
      <c r="I35" s="93">
        <f>J35*5.2</f>
        <v>733.2</v>
      </c>
      <c r="J35" s="93">
        <v>141</v>
      </c>
    </row>
    <row r="36" spans="8:10" ht="26.4">
      <c r="H36" s="94" t="s">
        <v>52</v>
      </c>
      <c r="I36" s="91">
        <f>I33-I35</f>
        <v>394.79999999999995</v>
      </c>
      <c r="J36" s="91">
        <f>J33-J35</f>
        <v>76</v>
      </c>
    </row>
    <row r="37" spans="8:10" ht="26.4">
      <c r="H37" s="94" t="s">
        <v>53</v>
      </c>
      <c r="I37" s="91">
        <f>I34-I35</f>
        <v>816.39999999999986</v>
      </c>
      <c r="J37" s="91">
        <f>J34-J35</f>
        <v>157</v>
      </c>
    </row>
  </sheetData>
  <mergeCells count="19">
    <mergeCell ref="K20:M20"/>
    <mergeCell ref="N20:P20"/>
    <mergeCell ref="Q20:S20"/>
    <mergeCell ref="A19:A20"/>
    <mergeCell ref="B19:D20"/>
    <mergeCell ref="E19:E20"/>
    <mergeCell ref="F19:F20"/>
    <mergeCell ref="G19:G20"/>
    <mergeCell ref="H20:J20"/>
    <mergeCell ref="J3:Q3"/>
    <mergeCell ref="A17:A18"/>
    <mergeCell ref="B17:D18"/>
    <mergeCell ref="E17:E18"/>
    <mergeCell ref="F17:F18"/>
    <mergeCell ref="G17:G18"/>
    <mergeCell ref="H18:J18"/>
    <mergeCell ref="K18:M18"/>
    <mergeCell ref="N18:P18"/>
    <mergeCell ref="Q18:S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 Wind Actual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Satwik Narwa</dc:creator>
  <cp:lastModifiedBy>Satwik Narwa</cp:lastModifiedBy>
  <dcterms:created xsi:type="dcterms:W3CDTF">2026-01-05T06:10:30Z</dcterms:created>
  <dcterms:modified xsi:type="dcterms:W3CDTF">2026-01-05T06:21:34Z</dcterms:modified>
</cp:coreProperties>
</file>